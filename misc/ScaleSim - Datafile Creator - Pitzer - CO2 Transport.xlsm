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7.xml" ContentType="application/vnd.ms-office.activeX+xml"/>
  <Override PartName="/xl/activeX/activeX6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7.bin" ContentType="application/vnd.ms-office.activeX"/>
  <Override PartName="/xl/activeX/activeX6.bin" ContentType="application/vnd.ms-office.activeX"/>
  <Override PartName="/xl/activeX/activeX8.bin" ContentType="application/vnd.ms-office.activeX"/>
  <Override PartName="/xl/activeX/activeX9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5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aard\Dropbox\Scale Consult\Projects\2024\SC2420 Equinor CO2 transport model\08 Model\"/>
    </mc:Choice>
  </mc:AlternateContent>
  <xr:revisionPtr revIDLastSave="0" documentId="13_ncr:1_{52A3510B-E533-4C8F-8AB8-428CEA02C17D}" xr6:coauthVersionLast="47" xr6:coauthVersionMax="47" xr10:uidLastSave="{00000000-0000-0000-0000-000000000000}"/>
  <bookViews>
    <workbookView xWindow="44745" yWindow="1575" windowWidth="29190" windowHeight="18570" tabRatio="845" xr2:uid="{00000000-000D-0000-FFFF-FFFF00000000}"/>
  </bookViews>
  <sheets>
    <sheet name="About" sheetId="1" r:id="rId1"/>
    <sheet name="Ions" sheetId="2" r:id="rId2"/>
    <sheet name="Alpha" sheetId="19" r:id="rId3"/>
    <sheet name="Beta(0)" sheetId="3" r:id="rId4"/>
    <sheet name="Beta(1)" sheetId="6" r:id="rId5"/>
    <sheet name="Beta(2)" sheetId="7" r:id="rId6"/>
    <sheet name="Cpar" sheetId="10" r:id="rId7"/>
    <sheet name="Teta" sheetId="12" r:id="rId8"/>
    <sheet name="Psi" sheetId="14" r:id="rId9"/>
    <sheet name="Lambda" sheetId="15" r:id="rId10"/>
    <sheet name="Ksi" sheetId="17" r:id="rId11"/>
    <sheet name="References" sheetId="23" r:id="rId12"/>
  </sheets>
  <definedNames>
    <definedName name="AntSpecs">Ions!$C$8</definedName>
    <definedName name="FileName_Alpha">Alpha!$D$4</definedName>
    <definedName name="FolderPath">About!$D$7</definedName>
    <definedName name="T">'Beta(0)'!$X$6</definedName>
    <definedName name="Temp">'Beta(0)'!$Q$7</definedName>
    <definedName name="Tref">'Beta(0)'!$S$6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2" l="1"/>
  <c r="AC18" i="6"/>
  <c r="AC15" i="6"/>
  <c r="AB18" i="3"/>
  <c r="X6" i="3" l="1"/>
  <c r="AB19" i="3" s="1"/>
  <c r="X12" i="10" l="1"/>
  <c r="X11" i="10"/>
  <c r="X11" i="3"/>
  <c r="X12" i="3"/>
  <c r="X11" i="6"/>
  <c r="X12" i="6"/>
  <c r="D7" i="19"/>
  <c r="D8" i="14" l="1"/>
  <c r="D7" i="14"/>
  <c r="D7" i="17" l="1"/>
  <c r="D7" i="10" l="1"/>
  <c r="D7" i="7"/>
  <c r="D7" i="6"/>
  <c r="D7" i="3"/>
  <c r="D7" i="15" l="1"/>
  <c r="H8" i="2" l="1"/>
  <c r="C8" i="2" l="1"/>
</calcChain>
</file>

<file path=xl/sharedStrings.xml><?xml version="1.0" encoding="utf-8"?>
<sst xmlns="http://schemas.openxmlformats.org/spreadsheetml/2006/main" count="260" uniqueCount="89">
  <si>
    <t>ScaleSim - Datafile Creator - Pitzer parameters</t>
  </si>
  <si>
    <t>Baard Kaasa</t>
  </si>
  <si>
    <t>Folder:</t>
  </si>
  <si>
    <t>C:\Users\baard\Dropbox\Scale Consult\Projects\2024\SC2420 Equinor CO2 transport model\09 Datafiles\</t>
  </si>
  <si>
    <t>Change Log</t>
  </si>
  <si>
    <t>Date</t>
  </si>
  <si>
    <t>Name</t>
  </si>
  <si>
    <t>What</t>
  </si>
  <si>
    <t>Baard</t>
  </si>
  <si>
    <t>Updated from an old ScaleSim</t>
  </si>
  <si>
    <t>Ions in models</t>
  </si>
  <si>
    <t>File:</t>
  </si>
  <si>
    <t>PitzIons.dat</t>
  </si>
  <si>
    <t>Species</t>
  </si>
  <si>
    <t>Ant spec in Pitz</t>
  </si>
  <si>
    <t>No</t>
  </si>
  <si>
    <t>Index</t>
  </si>
  <si>
    <t>Charge</t>
  </si>
  <si>
    <t>Mw</t>
  </si>
  <si>
    <t>Feed</t>
  </si>
  <si>
    <t>IncInPitz</t>
  </si>
  <si>
    <t>H2O</t>
  </si>
  <si>
    <t>H+</t>
  </si>
  <si>
    <t>H</t>
  </si>
  <si>
    <t>OH-</t>
  </si>
  <si>
    <t>OH</t>
  </si>
  <si>
    <t>H2SO4</t>
  </si>
  <si>
    <t>HSO4-</t>
  </si>
  <si>
    <t>HSO4</t>
  </si>
  <si>
    <t>SO42-</t>
  </si>
  <si>
    <t>SO4</t>
  </si>
  <si>
    <t>HNO3</t>
  </si>
  <si>
    <t>NO3-</t>
  </si>
  <si>
    <t>NO3</t>
  </si>
  <si>
    <t>Alpha parameters</t>
  </si>
  <si>
    <t>PitzAlpha.dat</t>
  </si>
  <si>
    <t>Info:</t>
  </si>
  <si>
    <t>AntPar</t>
  </si>
  <si>
    <t>CatIon</t>
  </si>
  <si>
    <t>AnIon</t>
  </si>
  <si>
    <t>Index 1</t>
  </si>
  <si>
    <t>Index 2</t>
  </si>
  <si>
    <t>Par1</t>
  </si>
  <si>
    <t>Par2</t>
  </si>
  <si>
    <t>Verified</t>
  </si>
  <si>
    <t>Ref</t>
  </si>
  <si>
    <t>Beta(0) parameters</t>
  </si>
  <si>
    <t>My T func</t>
  </si>
  <si>
    <t>PitzBeta0.dat</t>
  </si>
  <si>
    <t>Møller 88 T func</t>
  </si>
  <si>
    <t>Haarberg</t>
  </si>
  <si>
    <t>T</t>
  </si>
  <si>
    <t>Christov</t>
  </si>
  <si>
    <t>Dorn</t>
  </si>
  <si>
    <t>Par3</t>
  </si>
  <si>
    <t>Par4</t>
  </si>
  <si>
    <t>Par5</t>
  </si>
  <si>
    <t>Par6</t>
  </si>
  <si>
    <t>Par7</t>
  </si>
  <si>
    <t>Par8</t>
  </si>
  <si>
    <t>Eq</t>
  </si>
  <si>
    <t>P coeff</t>
  </si>
  <si>
    <t>P-T coeff</t>
  </si>
  <si>
    <t>Beta(1) parameters</t>
  </si>
  <si>
    <t>PitzBeta1.dat</t>
  </si>
  <si>
    <t>Beta(2) parameters</t>
  </si>
  <si>
    <t>PitzBeta2.dat</t>
  </si>
  <si>
    <t>Cphi parameters</t>
  </si>
  <si>
    <t>PitzC.dat</t>
  </si>
  <si>
    <t>Teta parameters</t>
  </si>
  <si>
    <t>PitzTeta.dat</t>
  </si>
  <si>
    <t>Laveste index først</t>
  </si>
  <si>
    <t>Ion 1</t>
  </si>
  <si>
    <t>Ion 2</t>
  </si>
  <si>
    <t>Psi parameters</t>
  </si>
  <si>
    <t>PitzPsi.dat</t>
  </si>
  <si>
    <t>Row</t>
  </si>
  <si>
    <t>Cation</t>
  </si>
  <si>
    <t>Index1</t>
  </si>
  <si>
    <t>Index2</t>
  </si>
  <si>
    <t>Index3</t>
  </si>
  <si>
    <t>Val</t>
  </si>
  <si>
    <t>Anion</t>
  </si>
  <si>
    <t>Lambda parameters</t>
  </si>
  <si>
    <t>PitzLambda.dat</t>
  </si>
  <si>
    <t>Neutral</t>
  </si>
  <si>
    <t>Ion</t>
  </si>
  <si>
    <t>Ksi parameters</t>
  </si>
  <si>
    <t>PitzKsi.dat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</si>
</sst>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11">
    <font>
      <sz val="10"/>
      <name val="Arial"/>
    </font>
    <font>
      <b/>
      <sz val="10"/>
      <name val="Arial"/>
      <family val="2"/>
    </font>
    <font>
      <i/>
      <sz val="9"/>
      <color indexed="20"/>
      <name val="Arial"/>
      <family val="2"/>
    </font>
    <font>
      <b/>
      <sz val="18"/>
      <color indexed="2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8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/>
    <xf numFmtId="0" fontId="3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1" fontId="0" fillId="0" borderId="0" xfId="0" applyNumberFormat="1"/>
    <xf numFmtId="0" fontId="5" fillId="2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6" fillId="2" borderId="0" xfId="0" applyFont="1" applyFill="1"/>
    <xf numFmtId="14" fontId="0" fillId="0" borderId="0" xfId="0" applyNumberFormat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5" fillId="0" borderId="0" xfId="0" applyFont="1"/>
    <xf numFmtId="0" fontId="0" fillId="4" borderId="0" xfId="0" applyFill="1" applyAlignment="1">
      <alignment horizontal="center"/>
    </xf>
    <xf numFmtId="0" fontId="5" fillId="5" borderId="0" xfId="0" applyFont="1" applyFill="1"/>
    <xf numFmtId="0" fontId="7" fillId="5" borderId="0" xfId="0" applyFont="1" applyFill="1"/>
    <xf numFmtId="0" fontId="8" fillId="2" borderId="0" xfId="0" applyFont="1" applyFill="1"/>
    <xf numFmtId="0" fontId="7" fillId="2" borderId="0" xfId="0" applyFont="1" applyFill="1"/>
    <xf numFmtId="0" fontId="5" fillId="2" borderId="0" xfId="0" applyFont="1" applyFill="1" applyAlignment="1">
      <alignment horizontal="center"/>
    </xf>
    <xf numFmtId="0" fontId="0" fillId="7" borderId="2" xfId="0" applyFill="1" applyBorder="1"/>
    <xf numFmtId="0" fontId="8" fillId="0" borderId="0" xfId="0" applyFont="1"/>
    <xf numFmtId="0" fontId="9" fillId="0" borderId="0" xfId="0" applyFont="1"/>
    <xf numFmtId="11" fontId="8" fillId="0" borderId="0" xfId="0" applyNumberFormat="1" applyFont="1"/>
    <xf numFmtId="11" fontId="8" fillId="7" borderId="2" xfId="0" applyNumberFormat="1" applyFont="1" applyFill="1" applyBorder="1"/>
    <xf numFmtId="0" fontId="7" fillId="2" borderId="0" xfId="0" applyFont="1" applyFill="1" applyAlignment="1">
      <alignment horizontal="center"/>
    </xf>
    <xf numFmtId="0" fontId="7" fillId="0" borderId="0" xfId="0" applyFont="1"/>
    <xf numFmtId="11" fontId="0" fillId="2" borderId="0" xfId="0" applyNumberFormat="1" applyFill="1"/>
    <xf numFmtId="11" fontId="0" fillId="2" borderId="0" xfId="0" applyNumberFormat="1" applyFill="1" applyAlignment="1">
      <alignment horizontal="center"/>
    </xf>
    <xf numFmtId="4" fontId="0" fillId="2" borderId="0" xfId="0" applyNumberFormat="1" applyFill="1"/>
    <xf numFmtId="0" fontId="10" fillId="0" borderId="0" xfId="0" applyFont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2" borderId="0" xfId="0" applyFont="1" applyFill="1" applyAlignment="1">
      <alignment horizontal="right"/>
    </xf>
    <xf numFmtId="164" fontId="0" fillId="2" borderId="0" xfId="0" applyNumberFormat="1" applyFill="1"/>
  </cellXfs>
  <cellStyles count="1">
    <cellStyle name="Normal" xfId="0" builtinId="0"/>
  </cellStyles>
  <dxfs count="135"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12</xdr:row>
          <xdr:rowOff>152400</xdr:rowOff>
        </xdr:from>
        <xdr:to>
          <xdr:col>4</xdr:col>
          <xdr:colOff>209550</xdr:colOff>
          <xdr:row>14</xdr:row>
          <xdr:rowOff>127000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15</xdr:row>
          <xdr:rowOff>107950</xdr:rowOff>
        </xdr:from>
        <xdr:to>
          <xdr:col>4</xdr:col>
          <xdr:colOff>209550</xdr:colOff>
          <xdr:row>17</xdr:row>
          <xdr:rowOff>76200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Beta(0)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18</xdr:row>
          <xdr:rowOff>69850</xdr:rowOff>
        </xdr:from>
        <xdr:to>
          <xdr:col>4</xdr:col>
          <xdr:colOff>209550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Beta(1)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21</xdr:row>
          <xdr:rowOff>19050</xdr:rowOff>
        </xdr:from>
        <xdr:to>
          <xdr:col>4</xdr:col>
          <xdr:colOff>209550</xdr:colOff>
          <xdr:row>22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Beta(2)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23</xdr:row>
          <xdr:rowOff>146050</xdr:rowOff>
        </xdr:from>
        <xdr:to>
          <xdr:col>4</xdr:col>
          <xdr:colOff>209550</xdr:colOff>
          <xdr:row>25</xdr:row>
          <xdr:rowOff>114300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40</xdr:row>
          <xdr:rowOff>114300</xdr:rowOff>
        </xdr:from>
        <xdr:to>
          <xdr:col>4</xdr:col>
          <xdr:colOff>209550</xdr:colOff>
          <xdr:row>42</xdr:row>
          <xdr:rowOff>88900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26</xdr:row>
          <xdr:rowOff>95250</xdr:rowOff>
        </xdr:from>
        <xdr:to>
          <xdr:col>4</xdr:col>
          <xdr:colOff>209550</xdr:colOff>
          <xdr:row>28</xdr:row>
          <xdr:rowOff>69850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29</xdr:row>
          <xdr:rowOff>57150</xdr:rowOff>
        </xdr:from>
        <xdr:to>
          <xdr:col>4</xdr:col>
          <xdr:colOff>209550</xdr:colOff>
          <xdr:row>31</xdr:row>
          <xdr:rowOff>31750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Psi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32</xdr:row>
          <xdr:rowOff>12700</xdr:rowOff>
        </xdr:from>
        <xdr:to>
          <xdr:col>4</xdr:col>
          <xdr:colOff>209550</xdr:colOff>
          <xdr:row>33</xdr:row>
          <xdr:rowOff>146050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Lambda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34</xdr:row>
          <xdr:rowOff>133350</xdr:rowOff>
        </xdr:from>
        <xdr:to>
          <xdr:col>4</xdr:col>
          <xdr:colOff>209550</xdr:colOff>
          <xdr:row>36</xdr:row>
          <xdr:rowOff>107950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Ksi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260350</xdr:rowOff>
        </xdr:from>
        <xdr:to>
          <xdr:col>9</xdr:col>
          <xdr:colOff>488950</xdr:colOff>
          <xdr:row>5</xdr:row>
          <xdr:rowOff>50800</xdr:rowOff>
        </xdr:to>
        <xdr:sp macro="" textlink="">
          <xdr:nvSpPr>
            <xdr:cNvPr id="1034" name="CmdSetIndex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1</xdr:row>
          <xdr:rowOff>279400</xdr:rowOff>
        </xdr:from>
        <xdr:to>
          <xdr:col>9</xdr:col>
          <xdr:colOff>133350</xdr:colOff>
          <xdr:row>5</xdr:row>
          <xdr:rowOff>57150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679450</xdr:colOff>
          <xdr:row>2</xdr:row>
          <xdr:rowOff>38100</xdr:rowOff>
        </xdr:from>
        <xdr:to>
          <xdr:col>9</xdr:col>
          <xdr:colOff>127000</xdr:colOff>
          <xdr:row>5</xdr:row>
          <xdr:rowOff>127000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698500</xdr:colOff>
          <xdr:row>2</xdr:row>
          <xdr:rowOff>19050</xdr:rowOff>
        </xdr:from>
        <xdr:to>
          <xdr:col>9</xdr:col>
          <xdr:colOff>146050</xdr:colOff>
          <xdr:row>5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260350</xdr:rowOff>
        </xdr:from>
        <xdr:to>
          <xdr:col>9</xdr:col>
          <xdr:colOff>488950</xdr:colOff>
          <xdr:row>5</xdr:row>
          <xdr:rowOff>50800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</xdr:row>
          <xdr:rowOff>69850</xdr:rowOff>
        </xdr:from>
        <xdr:to>
          <xdr:col>9</xdr:col>
          <xdr:colOff>222250</xdr:colOff>
          <xdr:row>6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3</xdr:row>
          <xdr:rowOff>0</xdr:rowOff>
        </xdr:from>
        <xdr:to>
          <xdr:col>12</xdr:col>
          <xdr:colOff>533400</xdr:colOff>
          <xdr:row>5</xdr:row>
          <xdr:rowOff>50800</xdr:rowOff>
        </xdr:to>
        <xdr:sp macro="" textlink="">
          <xdr:nvSpPr>
            <xdr:cNvPr id="10243" name="CmdSavePsi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127000</xdr:colOff>
          <xdr:row>1</xdr:row>
          <xdr:rowOff>241300</xdr:rowOff>
        </xdr:from>
        <xdr:to>
          <xdr:col>9</xdr:col>
          <xdr:colOff>241300</xdr:colOff>
          <xdr:row>5</xdr:row>
          <xdr:rowOff>31750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565150</xdr:colOff>
          <xdr:row>1</xdr:row>
          <xdr:rowOff>146050</xdr:rowOff>
        </xdr:from>
        <xdr:to>
          <xdr:col>9</xdr:col>
          <xdr:colOff>260350</xdr:colOff>
          <xdr:row>4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5" Type="http://schemas.openxmlformats.org/officeDocument/2006/relationships/image" Target="../media/image3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.emf"/><Relationship Id="rId4" Type="http://schemas.openxmlformats.org/officeDocument/2006/relationships/control" Target="../activeX/activeX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B1:U44"/>
  <sheetViews>
    <sheetView tabSelected="1" workbookViewId="0">
      <selection activeCell="D11" sqref="D11"/>
    </sheetView>
  </sheetViews>
  <sheetFormatPr defaultColWidth="9.140625" defaultRowHeight="12.6"/>
  <cols>
    <col min="1" max="1" width="3.7109375" style="1" customWidth="1"/>
    <col min="2" max="8" width="9.140625" style="1"/>
    <col min="9" max="9" width="12.42578125" style="1" customWidth="1"/>
    <col min="10" max="10" width="9.140625" style="1"/>
    <col min="11" max="11" width="81.85546875" style="1" customWidth="1"/>
    <col min="12" max="16384" width="9.140625" style="1"/>
  </cols>
  <sheetData>
    <row r="1" spans="2:21">
      <c r="N1" s="15"/>
      <c r="O1" s="15"/>
      <c r="P1" s="15"/>
      <c r="Q1" s="15"/>
      <c r="R1" s="15"/>
      <c r="S1" s="15"/>
      <c r="T1" s="15"/>
      <c r="U1" s="15"/>
    </row>
    <row r="2" spans="2:21" ht="23.1">
      <c r="B2" s="5" t="s">
        <v>0</v>
      </c>
    </row>
    <row r="3" spans="2:21" ht="12.95">
      <c r="B3" s="4" t="s">
        <v>1</v>
      </c>
    </row>
    <row r="7" spans="2:21" ht="12.95">
      <c r="C7" s="40" t="s">
        <v>2</v>
      </c>
      <c r="D7" s="37" t="s">
        <v>3</v>
      </c>
      <c r="E7" s="38"/>
      <c r="F7" s="38"/>
      <c r="G7" s="38"/>
      <c r="H7" s="38"/>
      <c r="I7" s="38"/>
      <c r="J7" s="38"/>
      <c r="K7" s="39"/>
    </row>
    <row r="12" spans="2:21" ht="15.6">
      <c r="I12" s="12" t="s">
        <v>4</v>
      </c>
      <c r="M12" s="9"/>
    </row>
    <row r="13" spans="2:21">
      <c r="M13" s="9"/>
    </row>
    <row r="14" spans="2:21" ht="12.95">
      <c r="I14" s="2" t="s">
        <v>5</v>
      </c>
      <c r="J14" s="2" t="s">
        <v>6</v>
      </c>
      <c r="K14" s="2" t="s">
        <v>7</v>
      </c>
    </row>
    <row r="15" spans="2:21">
      <c r="I15" s="13">
        <v>45881</v>
      </c>
      <c r="J15" s="19" t="s">
        <v>8</v>
      </c>
      <c r="K15" s="19" t="s">
        <v>9</v>
      </c>
    </row>
    <row r="16" spans="2:21">
      <c r="I16" s="13"/>
      <c r="J16" s="19"/>
      <c r="K16" s="19"/>
    </row>
    <row r="17" spans="9:11">
      <c r="I17" s="13"/>
      <c r="J17"/>
      <c r="K17"/>
    </row>
    <row r="18" spans="9:11">
      <c r="I18"/>
      <c r="J18"/>
      <c r="K18"/>
    </row>
    <row r="19" spans="9:11">
      <c r="I19"/>
      <c r="J19"/>
      <c r="K19"/>
    </row>
    <row r="20" spans="9:11">
      <c r="I20"/>
      <c r="J20"/>
      <c r="K20"/>
    </row>
    <row r="21" spans="9:11">
      <c r="I21"/>
      <c r="J21"/>
      <c r="K21"/>
    </row>
    <row r="22" spans="9:11">
      <c r="I22"/>
      <c r="J22"/>
      <c r="K22"/>
    </row>
    <row r="23" spans="9:11">
      <c r="I23"/>
      <c r="J23"/>
      <c r="K23"/>
    </row>
    <row r="24" spans="9:11">
      <c r="I24"/>
      <c r="J24"/>
      <c r="K24"/>
    </row>
    <row r="25" spans="9:11">
      <c r="I25"/>
      <c r="J25"/>
      <c r="K25"/>
    </row>
    <row r="26" spans="9:11">
      <c r="I26"/>
      <c r="J26"/>
      <c r="K26"/>
    </row>
    <row r="27" spans="9:11">
      <c r="I27"/>
      <c r="J27"/>
      <c r="K27"/>
    </row>
    <row r="28" spans="9:11">
      <c r="I28"/>
      <c r="J28"/>
      <c r="K28"/>
    </row>
    <row r="29" spans="9:11">
      <c r="I29"/>
      <c r="J29"/>
      <c r="K29"/>
    </row>
    <row r="30" spans="9:11">
      <c r="I30"/>
      <c r="J30"/>
      <c r="K30"/>
    </row>
    <row r="31" spans="9:11">
      <c r="I31"/>
      <c r="J31"/>
      <c r="K31"/>
    </row>
    <row r="32" spans="9:11">
      <c r="I32"/>
      <c r="J32"/>
      <c r="K32"/>
    </row>
    <row r="33" spans="9:11">
      <c r="I33"/>
      <c r="J33"/>
      <c r="K33"/>
    </row>
    <row r="34" spans="9:11">
      <c r="I34"/>
      <c r="J34"/>
      <c r="K34"/>
    </row>
    <row r="35" spans="9:11">
      <c r="I35"/>
      <c r="J35"/>
      <c r="K35"/>
    </row>
    <row r="36" spans="9:11">
      <c r="I36"/>
      <c r="J36"/>
      <c r="K36"/>
    </row>
    <row r="37" spans="9:11">
      <c r="I37"/>
      <c r="J37"/>
      <c r="K37"/>
    </row>
    <row r="38" spans="9:11">
      <c r="I38"/>
      <c r="J38"/>
      <c r="K38"/>
    </row>
    <row r="39" spans="9:11">
      <c r="I39"/>
      <c r="J39"/>
      <c r="K39"/>
    </row>
    <row r="40" spans="9:11">
      <c r="I40"/>
      <c r="J40"/>
      <c r="K40"/>
    </row>
    <row r="41" spans="9:11">
      <c r="I41"/>
      <c r="J41"/>
      <c r="K41"/>
    </row>
    <row r="42" spans="9:11">
      <c r="I42"/>
      <c r="J42"/>
      <c r="K42"/>
    </row>
    <row r="43" spans="9:11">
      <c r="I43"/>
      <c r="J43"/>
      <c r="K43"/>
    </row>
    <row r="44" spans="9:11">
      <c r="I44"/>
      <c r="J44"/>
      <c r="K44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Sheet01.SaveAlpha">
                <anchor moveWithCells="1" sizeWithCells="1">
                  <from>
                    <xdr:col>2</xdr:col>
                    <xdr:colOff>298450</xdr:colOff>
                    <xdr:row>12</xdr:row>
                    <xdr:rowOff>152400</xdr:rowOff>
                  </from>
                  <to>
                    <xdr:col>4</xdr:col>
                    <xdr:colOff>209550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Sheet01.SaveBeta0">
                <anchor moveWithCells="1" sizeWithCells="1">
                  <from>
                    <xdr:col>2</xdr:col>
                    <xdr:colOff>298450</xdr:colOff>
                    <xdr:row>15</xdr:row>
                    <xdr:rowOff>107950</xdr:rowOff>
                  </from>
                  <to>
                    <xdr:col>4</xdr:col>
                    <xdr:colOff>209550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Sheet01.SaveBeta1">
                <anchor moveWithCells="1" sizeWithCells="1">
                  <from>
                    <xdr:col>2</xdr:col>
                    <xdr:colOff>298450</xdr:colOff>
                    <xdr:row>18</xdr:row>
                    <xdr:rowOff>69850</xdr:rowOff>
                  </from>
                  <to>
                    <xdr:col>4</xdr:col>
                    <xdr:colOff>209550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Sheet01.SaveBeta2">
                <anchor moveWithCells="1" sizeWithCells="1">
                  <from>
                    <xdr:col>2</xdr:col>
                    <xdr:colOff>298450</xdr:colOff>
                    <xdr:row>21</xdr:row>
                    <xdr:rowOff>19050</xdr:rowOff>
                  </from>
                  <to>
                    <xdr:col>4</xdr:col>
                    <xdr:colOff>209550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Sheet01.SaveC">
                <anchor moveWithCells="1" sizeWithCells="1">
                  <from>
                    <xdr:col>2</xdr:col>
                    <xdr:colOff>298450</xdr:colOff>
                    <xdr:row>23</xdr:row>
                    <xdr:rowOff>146050</xdr:rowOff>
                  </from>
                  <to>
                    <xdr:col>4</xdr:col>
                    <xdr:colOff>209550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" name="Button 20">
              <controlPr defaultSize="0" print="0" autoFill="0" autoPict="0" macro="[0]!Sheet01.SaveAll">
                <anchor moveWithCells="1" sizeWithCells="1">
                  <from>
                    <xdr:col>2</xdr:col>
                    <xdr:colOff>298450</xdr:colOff>
                    <xdr:row>40</xdr:row>
                    <xdr:rowOff>114300</xdr:rowOff>
                  </from>
                  <to>
                    <xdr:col>4</xdr:col>
                    <xdr:colOff>209550</xdr:colOff>
                    <xdr:row>42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0" name="Button 21">
              <controlPr defaultSize="0" print="0" autoFill="0" autoPict="0" macro="[0]!Sheet01.SaveTeta">
                <anchor moveWithCells="1" sizeWithCells="1">
                  <from>
                    <xdr:col>2</xdr:col>
                    <xdr:colOff>298450</xdr:colOff>
                    <xdr:row>26</xdr:row>
                    <xdr:rowOff>95250</xdr:rowOff>
                  </from>
                  <to>
                    <xdr:col>4</xdr:col>
                    <xdr:colOff>209550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1" name="Button 22">
              <controlPr defaultSize="0" print="0" autoFill="0" autoPict="0" macro="[0]!Sheet01.SavePsi">
                <anchor moveWithCells="1" sizeWithCells="1">
                  <from>
                    <xdr:col>2</xdr:col>
                    <xdr:colOff>298450</xdr:colOff>
                    <xdr:row>29</xdr:row>
                    <xdr:rowOff>57150</xdr:rowOff>
                  </from>
                  <to>
                    <xdr:col>4</xdr:col>
                    <xdr:colOff>209550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2" name="Button 23">
              <controlPr defaultSize="0" print="0" autoFill="0" autoPict="0" macro="[0]!Sheet01.SaveLambda">
                <anchor moveWithCells="1" sizeWithCells="1">
                  <from>
                    <xdr:col>2</xdr:col>
                    <xdr:colOff>298450</xdr:colOff>
                    <xdr:row>32</xdr:row>
                    <xdr:rowOff>12700</xdr:rowOff>
                  </from>
                  <to>
                    <xdr:col>4</xdr:col>
                    <xdr:colOff>209550</xdr:colOff>
                    <xdr:row>33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Sheet01.SaveKsi">
                <anchor moveWithCells="1" sizeWithCells="1">
                  <from>
                    <xdr:col>2</xdr:col>
                    <xdr:colOff>298450</xdr:colOff>
                    <xdr:row>34</xdr:row>
                    <xdr:rowOff>133350</xdr:rowOff>
                  </from>
                  <to>
                    <xdr:col>4</xdr:col>
                    <xdr:colOff>209550</xdr:colOff>
                    <xdr:row>36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/>
  <dimension ref="B2:W60"/>
  <sheetViews>
    <sheetView zoomScale="80" workbookViewId="0">
      <selection activeCell="B18" sqref="B18"/>
    </sheetView>
  </sheetViews>
  <sheetFormatPr defaultColWidth="9.140625" defaultRowHeight="12.6"/>
  <cols>
    <col min="1" max="1" width="3.7109375" style="1" customWidth="1"/>
    <col min="2" max="5" width="9.140625" style="1"/>
    <col min="6" max="6" width="16" style="1" customWidth="1"/>
    <col min="7" max="7" width="9.140625" style="1"/>
    <col min="8" max="8" width="12.85546875" style="1" customWidth="1"/>
    <col min="9" max="10" width="9.140625" style="1"/>
    <col min="11" max="11" width="4.7109375" style="1" customWidth="1"/>
    <col min="12" max="13" width="9.140625" style="1"/>
    <col min="14" max="14" width="12" style="1" customWidth="1"/>
    <col min="15" max="20" width="9.140625" style="1"/>
    <col min="21" max="23" width="12.140625" style="1" customWidth="1"/>
    <col min="24" max="16384" width="9.140625" style="1"/>
  </cols>
  <sheetData>
    <row r="2" spans="2:23" ht="23.1">
      <c r="B2" s="5" t="s">
        <v>10</v>
      </c>
    </row>
    <row r="4" spans="2:23" ht="12.95">
      <c r="C4" s="2" t="s">
        <v>11</v>
      </c>
      <c r="D4" s="10" t="s">
        <v>12</v>
      </c>
      <c r="E4" s="11"/>
      <c r="F4" s="11"/>
    </row>
    <row r="5" spans="2:23" ht="12.95">
      <c r="B5" s="2"/>
    </row>
    <row r="6" spans="2:23" ht="12.95">
      <c r="B6" s="2"/>
    </row>
    <row r="7" spans="2:23" ht="12.95">
      <c r="B7" s="2"/>
      <c r="C7" s="9" t="s">
        <v>13</v>
      </c>
      <c r="H7" s="7" t="s">
        <v>14</v>
      </c>
    </row>
    <row r="8" spans="2:23" ht="12.95">
      <c r="B8" s="2"/>
      <c r="C8" s="1">
        <f>COUNTA(C11:C300)</f>
        <v>8</v>
      </c>
      <c r="H8" s="7">
        <f>SUM(H11:H60)</f>
        <v>4</v>
      </c>
    </row>
    <row r="10" spans="2:23" ht="13.5" thickBot="1">
      <c r="B10" s="17" t="s">
        <v>15</v>
      </c>
      <c r="C10" s="17" t="s">
        <v>6</v>
      </c>
      <c r="D10" s="17" t="s">
        <v>16</v>
      </c>
      <c r="E10" s="17" t="s">
        <v>17</v>
      </c>
      <c r="F10" s="18" t="s">
        <v>18</v>
      </c>
      <c r="G10" s="17" t="s">
        <v>19</v>
      </c>
      <c r="H10" s="17" t="s">
        <v>20</v>
      </c>
      <c r="M10" s="9"/>
      <c r="U10" s="9"/>
    </row>
    <row r="11" spans="2:23" ht="13.5" thickTop="1">
      <c r="B11" s="1">
        <v>1</v>
      </c>
      <c r="C11" s="15" t="s">
        <v>21</v>
      </c>
      <c r="D11" s="15" t="s">
        <v>21</v>
      </c>
      <c r="E11" s="16">
        <v>0</v>
      </c>
      <c r="F11" s="16">
        <v>18.015999999999998</v>
      </c>
      <c r="G11" s="16">
        <v>0</v>
      </c>
      <c r="H11" s="6">
        <v>0</v>
      </c>
      <c r="M11" s="9"/>
      <c r="S11" s="3"/>
      <c r="T11" s="2"/>
      <c r="U11" s="2"/>
      <c r="V11" s="2"/>
      <c r="W11" s="2"/>
    </row>
    <row r="12" spans="2:23">
      <c r="B12" s="1">
        <v>2</v>
      </c>
      <c r="C12" s="15" t="s">
        <v>22</v>
      </c>
      <c r="D12" s="15" t="s">
        <v>23</v>
      </c>
      <c r="E12" s="16">
        <v>1</v>
      </c>
      <c r="F12" s="16">
        <v>1.008</v>
      </c>
      <c r="G12" s="16">
        <v>0</v>
      </c>
      <c r="H12" s="6">
        <v>1</v>
      </c>
      <c r="M12" s="9"/>
      <c r="S12" s="3"/>
      <c r="U12" s="35"/>
      <c r="V12" s="35"/>
      <c r="W12" s="35"/>
    </row>
    <row r="13" spans="2:23">
      <c r="B13" s="1">
        <v>3</v>
      </c>
      <c r="C13" s="15" t="s">
        <v>24</v>
      </c>
      <c r="D13" s="15" t="s">
        <v>25</v>
      </c>
      <c r="E13" s="16">
        <v>-1</v>
      </c>
      <c r="F13" s="16">
        <v>17.007999999999999</v>
      </c>
      <c r="G13" s="16">
        <v>0</v>
      </c>
      <c r="H13" s="6">
        <v>1</v>
      </c>
      <c r="M13" s="9"/>
      <c r="S13" s="3"/>
      <c r="U13" s="35"/>
      <c r="V13" s="35"/>
      <c r="W13" s="35"/>
    </row>
    <row r="14" spans="2:23">
      <c r="B14" s="1">
        <v>4</v>
      </c>
      <c r="C14" s="21" t="s">
        <v>26</v>
      </c>
      <c r="D14" s="21" t="s">
        <v>26</v>
      </c>
      <c r="E14" s="16">
        <v>0</v>
      </c>
      <c r="F14" s="16">
        <v>98.085999999999999</v>
      </c>
      <c r="G14" s="16">
        <v>1</v>
      </c>
      <c r="H14" s="6">
        <v>0</v>
      </c>
      <c r="M14" s="9"/>
      <c r="S14" s="3"/>
      <c r="U14" s="35"/>
      <c r="V14" s="35"/>
      <c r="W14" s="35"/>
    </row>
    <row r="15" spans="2:23">
      <c r="B15" s="1">
        <v>5</v>
      </c>
      <c r="C15" s="21" t="s">
        <v>27</v>
      </c>
      <c r="D15" s="21" t="s">
        <v>28</v>
      </c>
      <c r="E15" s="16">
        <v>-1</v>
      </c>
      <c r="F15" s="16">
        <v>97.078000000000003</v>
      </c>
      <c r="G15" s="16">
        <v>0</v>
      </c>
      <c r="H15" s="6">
        <v>1</v>
      </c>
      <c r="M15" s="9"/>
      <c r="S15" s="3"/>
      <c r="U15" s="35"/>
      <c r="V15" s="35"/>
      <c r="W15" s="35"/>
    </row>
    <row r="16" spans="2:23">
      <c r="B16" s="1">
        <v>6</v>
      </c>
      <c r="C16" s="21" t="s">
        <v>29</v>
      </c>
      <c r="D16" s="21" t="s">
        <v>30</v>
      </c>
      <c r="E16" s="16">
        <v>-2</v>
      </c>
      <c r="F16" s="16">
        <v>96.07</v>
      </c>
      <c r="G16" s="16">
        <v>0</v>
      </c>
      <c r="H16" s="6">
        <v>1</v>
      </c>
      <c r="M16" s="9"/>
      <c r="S16" s="3"/>
      <c r="U16" s="35"/>
      <c r="V16" s="35"/>
      <c r="W16" s="35"/>
    </row>
    <row r="17" spans="2:23">
      <c r="B17" s="1">
        <v>7</v>
      </c>
      <c r="C17" s="21" t="s">
        <v>31</v>
      </c>
      <c r="D17" s="21" t="s">
        <v>31</v>
      </c>
      <c r="E17" s="16">
        <v>0</v>
      </c>
      <c r="F17" s="16">
        <v>63.018000000000001</v>
      </c>
      <c r="G17" s="16">
        <v>1</v>
      </c>
      <c r="H17" s="6">
        <v>0</v>
      </c>
      <c r="M17" s="9"/>
      <c r="S17" s="3"/>
      <c r="U17" s="35"/>
      <c r="V17" s="35"/>
      <c r="W17" s="35"/>
    </row>
    <row r="18" spans="2:23">
      <c r="B18" s="1">
        <v>8</v>
      </c>
      <c r="C18" s="15" t="s">
        <v>32</v>
      </c>
      <c r="D18" s="15" t="s">
        <v>33</v>
      </c>
      <c r="E18" s="16">
        <v>-1</v>
      </c>
      <c r="F18" s="16">
        <v>50.04</v>
      </c>
      <c r="G18" s="16">
        <v>0</v>
      </c>
      <c r="H18" s="6">
        <v>0</v>
      </c>
      <c r="M18" s="9"/>
      <c r="S18" s="3"/>
      <c r="U18" s="35"/>
      <c r="V18" s="35"/>
      <c r="W18" s="35"/>
    </row>
    <row r="19" spans="2:23">
      <c r="C19" s="21"/>
      <c r="D19" s="21"/>
      <c r="E19" s="16"/>
      <c r="F19" s="16"/>
      <c r="G19" s="16"/>
      <c r="H19" s="6"/>
      <c r="S19" s="3"/>
      <c r="T19" s="9"/>
      <c r="U19" s="35"/>
      <c r="V19" s="35"/>
      <c r="W19" s="35"/>
    </row>
    <row r="20" spans="2:23">
      <c r="C20" s="21"/>
      <c r="D20" s="21"/>
      <c r="E20" s="16"/>
      <c r="F20" s="16"/>
      <c r="G20" s="16"/>
      <c r="H20" s="6"/>
      <c r="M20" s="9"/>
      <c r="S20" s="3"/>
    </row>
    <row r="21" spans="2:23">
      <c r="C21" s="15"/>
      <c r="D21" s="15"/>
      <c r="E21" s="16"/>
      <c r="F21" s="16"/>
      <c r="G21" s="16"/>
      <c r="H21" s="6"/>
      <c r="M21" s="9"/>
      <c r="S21" s="3"/>
    </row>
    <row r="22" spans="2:23">
      <c r="C22" s="15"/>
      <c r="D22" s="15"/>
      <c r="E22" s="16"/>
      <c r="F22" s="16"/>
      <c r="G22" s="16"/>
      <c r="H22" s="6"/>
      <c r="S22" s="3"/>
    </row>
    <row r="23" spans="2:23">
      <c r="C23" s="15"/>
      <c r="D23" s="15"/>
      <c r="E23" s="16"/>
      <c r="F23" s="16"/>
      <c r="G23" s="16"/>
      <c r="H23" s="6"/>
      <c r="M23" s="9"/>
      <c r="S23" s="3"/>
    </row>
    <row r="24" spans="2:23">
      <c r="C24" s="15"/>
      <c r="D24" s="15"/>
      <c r="E24" s="16"/>
      <c r="F24" s="16"/>
      <c r="G24" s="16"/>
      <c r="H24" s="6"/>
      <c r="S24" s="3"/>
    </row>
    <row r="25" spans="2:23">
      <c r="C25" s="15"/>
      <c r="D25" s="15"/>
      <c r="E25" s="16"/>
      <c r="F25" s="16"/>
      <c r="G25" s="16"/>
      <c r="H25" s="6"/>
      <c r="S25" s="3"/>
    </row>
    <row r="26" spans="2:23">
      <c r="C26" s="15"/>
      <c r="D26" s="15"/>
      <c r="E26" s="16"/>
      <c r="F26" s="16"/>
      <c r="G26" s="16"/>
      <c r="H26" s="6"/>
      <c r="S26" s="3"/>
    </row>
    <row r="27" spans="2:23">
      <c r="C27" s="15"/>
      <c r="D27" s="15"/>
      <c r="E27" s="16"/>
      <c r="F27" s="16"/>
      <c r="G27" s="16"/>
      <c r="H27" s="6"/>
      <c r="S27" s="3"/>
    </row>
    <row r="28" spans="2:23">
      <c r="C28" s="15"/>
      <c r="D28" s="15"/>
      <c r="E28" s="16"/>
      <c r="F28" s="16"/>
      <c r="G28" s="16"/>
      <c r="H28" s="6"/>
      <c r="S28" s="3"/>
    </row>
    <row r="29" spans="2:23">
      <c r="C29" s="15"/>
      <c r="D29" s="15"/>
      <c r="E29" s="16"/>
      <c r="F29" s="16"/>
      <c r="G29" s="16"/>
      <c r="H29" s="6"/>
      <c r="S29" s="3"/>
    </row>
    <row r="30" spans="2:23">
      <c r="C30" s="15"/>
      <c r="D30" s="15"/>
      <c r="E30" s="16"/>
      <c r="F30" s="16"/>
      <c r="G30" s="16"/>
      <c r="H30" s="6"/>
      <c r="S30" s="3"/>
    </row>
    <row r="31" spans="2:23">
      <c r="C31" s="15"/>
      <c r="D31" s="15"/>
      <c r="E31" s="16"/>
      <c r="F31" s="16"/>
      <c r="G31" s="16"/>
      <c r="H31" s="6"/>
      <c r="S31" s="3"/>
    </row>
    <row r="32" spans="2:23">
      <c r="C32" s="15"/>
      <c r="D32" s="15"/>
      <c r="E32" s="16"/>
      <c r="F32" s="16"/>
      <c r="G32" s="16"/>
      <c r="H32" s="6"/>
      <c r="S32" s="3"/>
    </row>
    <row r="33" spans="3:19">
      <c r="C33" s="15"/>
      <c r="D33" s="15"/>
      <c r="E33" s="16"/>
      <c r="F33" s="16"/>
      <c r="G33" s="16"/>
      <c r="H33" s="6"/>
      <c r="S33" s="3"/>
    </row>
    <row r="34" spans="3:19">
      <c r="C34" s="15"/>
      <c r="D34" s="15"/>
      <c r="E34" s="16"/>
      <c r="F34" s="16"/>
      <c r="G34" s="16"/>
      <c r="H34" s="6"/>
      <c r="S34" s="3"/>
    </row>
    <row r="35" spans="3:19">
      <c r="C35" s="15"/>
      <c r="D35" s="15"/>
      <c r="E35" s="16"/>
      <c r="F35" s="16"/>
      <c r="G35" s="16"/>
      <c r="H35" s="6"/>
      <c r="S35" s="3"/>
    </row>
    <row r="36" spans="3:19">
      <c r="C36" s="15"/>
      <c r="D36" s="15"/>
      <c r="E36" s="16"/>
      <c r="F36" s="16"/>
      <c r="G36" s="16"/>
      <c r="H36" s="6"/>
      <c r="S36" s="3"/>
    </row>
    <row r="37" spans="3:19">
      <c r="C37" s="15"/>
      <c r="D37" s="15"/>
      <c r="E37" s="16"/>
      <c r="F37" s="16"/>
      <c r="G37" s="16"/>
      <c r="H37" s="6"/>
      <c r="S37" s="3"/>
    </row>
    <row r="38" spans="3:19">
      <c r="C38" s="15"/>
      <c r="D38" s="15"/>
      <c r="E38" s="16"/>
      <c r="F38" s="16"/>
      <c r="G38" s="16"/>
      <c r="H38" s="6"/>
      <c r="S38" s="3"/>
    </row>
    <row r="39" spans="3:19">
      <c r="C39" s="15"/>
      <c r="D39" s="15"/>
      <c r="E39" s="16"/>
      <c r="F39" s="16"/>
      <c r="G39" s="16"/>
      <c r="H39" s="6"/>
      <c r="S39" s="3"/>
    </row>
    <row r="40" spans="3:19">
      <c r="C40" s="15"/>
      <c r="D40" s="15"/>
      <c r="E40" s="16"/>
      <c r="F40" s="16"/>
      <c r="G40" s="15"/>
      <c r="H40" s="6"/>
      <c r="S40" s="3"/>
    </row>
    <row r="41" spans="3:19">
      <c r="C41" s="15"/>
      <c r="D41" s="15"/>
      <c r="E41" s="16"/>
      <c r="F41" s="16"/>
      <c r="G41" s="15"/>
      <c r="H41" s="6"/>
      <c r="S41" s="3"/>
    </row>
    <row r="42" spans="3:19">
      <c r="C42" s="15"/>
      <c r="D42" s="15"/>
      <c r="E42" s="16"/>
      <c r="F42" s="16"/>
      <c r="G42" s="15"/>
      <c r="H42" s="6"/>
      <c r="S42" s="3"/>
    </row>
    <row r="43" spans="3:19">
      <c r="C43" s="15"/>
      <c r="D43" s="15"/>
      <c r="E43" s="16"/>
      <c r="F43" s="16"/>
      <c r="G43" s="15"/>
      <c r="H43" s="6"/>
      <c r="S43" s="3"/>
    </row>
    <row r="44" spans="3:19">
      <c r="C44" s="15"/>
      <c r="D44" s="15"/>
      <c r="E44" s="15"/>
      <c r="F44" s="15"/>
      <c r="G44" s="15"/>
      <c r="H44" s="6"/>
      <c r="S44" s="3"/>
    </row>
    <row r="45" spans="3:19">
      <c r="C45" s="15"/>
      <c r="D45" s="15"/>
      <c r="E45" s="15"/>
      <c r="F45" s="15"/>
      <c r="G45" s="15"/>
      <c r="H45" s="6"/>
      <c r="S45" s="3"/>
    </row>
    <row r="46" spans="3:19">
      <c r="C46" s="15"/>
      <c r="D46" s="15"/>
      <c r="E46" s="15"/>
      <c r="F46" s="15"/>
      <c r="G46" s="15"/>
      <c r="H46" s="6"/>
      <c r="S46" s="3"/>
    </row>
    <row r="47" spans="3:19">
      <c r="C47" s="15"/>
      <c r="D47" s="15"/>
      <c r="E47" s="15"/>
      <c r="F47" s="15"/>
      <c r="G47" s="15"/>
      <c r="H47" s="6"/>
      <c r="S47" s="3"/>
    </row>
    <row r="48" spans="3:19">
      <c r="C48" s="15"/>
      <c r="D48" s="15"/>
      <c r="E48" s="15"/>
      <c r="F48" s="15"/>
      <c r="G48" s="15"/>
      <c r="H48" s="6"/>
      <c r="S48" s="3"/>
    </row>
    <row r="49" spans="3:19">
      <c r="C49" s="15"/>
      <c r="D49" s="15"/>
      <c r="E49" s="15"/>
      <c r="F49" s="15"/>
      <c r="G49" s="15"/>
      <c r="H49" s="6"/>
      <c r="S49" s="3"/>
    </row>
    <row r="50" spans="3:19">
      <c r="C50" s="15"/>
      <c r="D50" s="15"/>
      <c r="E50" s="15"/>
      <c r="F50" s="15"/>
      <c r="G50" s="15"/>
      <c r="H50" s="6"/>
      <c r="S50" s="3"/>
    </row>
    <row r="51" spans="3:19">
      <c r="C51" s="15"/>
      <c r="D51" s="15"/>
      <c r="E51" s="15"/>
      <c r="F51" s="15"/>
      <c r="G51" s="15"/>
      <c r="H51" s="6"/>
      <c r="S51" s="3"/>
    </row>
    <row r="52" spans="3:19">
      <c r="C52" s="15"/>
      <c r="D52" s="15"/>
      <c r="E52" s="15"/>
      <c r="F52" s="15"/>
      <c r="G52" s="15"/>
      <c r="H52" s="6"/>
      <c r="S52" s="3"/>
    </row>
    <row r="53" spans="3:19">
      <c r="C53" s="15"/>
      <c r="D53" s="15"/>
      <c r="E53" s="15"/>
      <c r="F53" s="15"/>
      <c r="G53" s="15"/>
      <c r="H53" s="6"/>
    </row>
    <row r="54" spans="3:19">
      <c r="C54" s="15"/>
      <c r="D54" s="15"/>
      <c r="E54" s="15"/>
      <c r="F54" s="15"/>
      <c r="G54" s="15"/>
      <c r="H54" s="6"/>
    </row>
    <row r="55" spans="3:19">
      <c r="C55" s="15"/>
      <c r="D55" s="15"/>
      <c r="E55" s="15"/>
      <c r="F55" s="15"/>
      <c r="G55" s="15"/>
      <c r="H55" s="6"/>
    </row>
    <row r="56" spans="3:19">
      <c r="C56" s="15"/>
      <c r="D56" s="15"/>
      <c r="E56" s="15"/>
      <c r="F56" s="15"/>
      <c r="G56" s="15"/>
      <c r="H56" s="6"/>
    </row>
    <row r="57" spans="3:19">
      <c r="C57" s="15"/>
      <c r="D57" s="15"/>
      <c r="E57" s="15"/>
      <c r="F57" s="15"/>
      <c r="G57" s="15"/>
      <c r="H57" s="6"/>
    </row>
    <row r="58" spans="3:19">
      <c r="C58" s="15"/>
      <c r="D58" s="15"/>
      <c r="E58" s="15"/>
      <c r="F58" s="15"/>
      <c r="G58" s="15"/>
      <c r="H58" s="6"/>
    </row>
    <row r="59" spans="3:19">
      <c r="C59" s="15"/>
      <c r="D59" s="15"/>
      <c r="E59" s="15"/>
      <c r="F59" s="15"/>
      <c r="G59" s="15"/>
      <c r="H59" s="6"/>
    </row>
    <row r="60" spans="3:19">
      <c r="C60" s="15"/>
      <c r="D60" s="15"/>
      <c r="E60" s="15"/>
      <c r="F60" s="15"/>
      <c r="G60" s="15"/>
      <c r="H60" s="6"/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/>
  <dimension ref="B2:Q20"/>
  <sheetViews>
    <sheetView zoomScale="80" workbookViewId="0">
      <selection activeCell="I42" sqref="I42"/>
    </sheetView>
  </sheetViews>
  <sheetFormatPr defaultColWidth="9.140625" defaultRowHeight="12.6"/>
  <cols>
    <col min="1" max="1" width="3.7109375" style="1" customWidth="1"/>
    <col min="2" max="2" width="9.140625" style="1"/>
    <col min="3" max="4" width="10.7109375" style="1" customWidth="1"/>
    <col min="5" max="6" width="10.7109375" style="3" customWidth="1"/>
    <col min="7" max="12" width="10.7109375" style="1" customWidth="1"/>
    <col min="13" max="16384" width="9.140625" style="1"/>
  </cols>
  <sheetData>
    <row r="2" spans="2:12" ht="23.1">
      <c r="B2" s="5" t="s">
        <v>34</v>
      </c>
    </row>
    <row r="4" spans="2:12" ht="12.95">
      <c r="C4" s="2" t="s">
        <v>11</v>
      </c>
      <c r="D4" s="10" t="s">
        <v>35</v>
      </c>
      <c r="E4" s="11"/>
      <c r="F4" s="11"/>
    </row>
    <row r="5" spans="2:12" ht="12.95">
      <c r="C5" s="2" t="s">
        <v>36</v>
      </c>
      <c r="D5" s="14"/>
      <c r="E5" s="20"/>
      <c r="F5" s="20"/>
    </row>
    <row r="7" spans="2:12">
      <c r="C7" s="1" t="s">
        <v>37</v>
      </c>
      <c r="D7" s="1">
        <f>COUNTA(C11:C10001)</f>
        <v>0</v>
      </c>
    </row>
    <row r="10" spans="2:12" ht="13.5" thickBot="1">
      <c r="B10" s="2"/>
      <c r="C10" s="17" t="s">
        <v>38</v>
      </c>
      <c r="D10" s="17" t="s">
        <v>39</v>
      </c>
      <c r="E10" s="17" t="s">
        <v>40</v>
      </c>
      <c r="F10" s="17" t="s">
        <v>41</v>
      </c>
      <c r="G10" s="17" t="s">
        <v>42</v>
      </c>
      <c r="H10" s="17" t="s">
        <v>43</v>
      </c>
      <c r="I10" s="7" t="s">
        <v>44</v>
      </c>
      <c r="J10" s="7" t="s">
        <v>45</v>
      </c>
      <c r="K10" s="7"/>
      <c r="L10" s="7"/>
    </row>
    <row r="11" spans="2:12" ht="12.95" thickTop="1">
      <c r="C11" s="9"/>
      <c r="D11" s="9"/>
      <c r="G11"/>
      <c r="H11"/>
      <c r="I11" s="9"/>
    </row>
    <row r="12" spans="2:12">
      <c r="C12" s="9"/>
      <c r="D12" s="9"/>
      <c r="G12"/>
      <c r="H12"/>
      <c r="I12" s="9"/>
    </row>
    <row r="13" spans="2:12">
      <c r="C13" s="9"/>
      <c r="D13" s="9"/>
    </row>
    <row r="20" spans="14:17">
      <c r="N20" s="9"/>
      <c r="O20" s="9"/>
      <c r="P20" s="3"/>
      <c r="Q20" s="3"/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4"/>
  <dimension ref="B2:AD52"/>
  <sheetViews>
    <sheetView zoomScale="80" workbookViewId="0">
      <selection activeCell="AB27" sqref="AB27"/>
    </sheetView>
  </sheetViews>
  <sheetFormatPr defaultColWidth="9.140625" defaultRowHeight="12.6"/>
  <cols>
    <col min="1" max="1" width="3.7109375" style="1" customWidth="1"/>
    <col min="2" max="2" width="9.140625" style="1"/>
    <col min="3" max="4" width="10.7109375" style="1" customWidth="1"/>
    <col min="5" max="6" width="10.7109375" style="3" customWidth="1"/>
    <col min="7" max="15" width="10.7109375" style="1" customWidth="1"/>
    <col min="16" max="16" width="11.85546875" style="1" customWidth="1"/>
    <col min="17" max="17" width="10.42578125" style="1" customWidth="1"/>
    <col min="18" max="18" width="22.5703125" style="1" customWidth="1"/>
    <col min="19" max="21" width="9.140625" style="1"/>
    <col min="22" max="22" width="10.7109375" style="1" customWidth="1"/>
    <col min="23" max="23" width="10.42578125" style="1" customWidth="1"/>
    <col min="24" max="24" width="11.42578125" style="1" customWidth="1"/>
    <col min="25" max="25" width="10.28515625" style="1" customWidth="1"/>
    <col min="26" max="26" width="11.140625" style="1" customWidth="1"/>
    <col min="27" max="16384" width="9.140625" style="1"/>
  </cols>
  <sheetData>
    <row r="2" spans="2:30" ht="23.1">
      <c r="B2" s="5" t="s">
        <v>46</v>
      </c>
    </row>
    <row r="3" spans="2:30">
      <c r="O3" s="1">
        <v>1</v>
      </c>
      <c r="P3" s="9" t="s">
        <v>47</v>
      </c>
    </row>
    <row r="4" spans="2:30" ht="12.95">
      <c r="C4" s="2" t="s">
        <v>11</v>
      </c>
      <c r="D4" s="10" t="s">
        <v>48</v>
      </c>
      <c r="E4" s="11"/>
      <c r="F4" s="11"/>
      <c r="O4" s="1">
        <v>2</v>
      </c>
      <c r="P4" s="9" t="s">
        <v>49</v>
      </c>
    </row>
    <row r="5" spans="2:30">
      <c r="E5" s="1"/>
      <c r="F5" s="1"/>
      <c r="O5" s="1">
        <v>3</v>
      </c>
      <c r="P5" s="9" t="s">
        <v>50</v>
      </c>
      <c r="W5" s="9" t="s">
        <v>51</v>
      </c>
      <c r="X5" s="1">
        <v>25</v>
      </c>
    </row>
    <row r="6" spans="2:30">
      <c r="O6" s="1">
        <v>4</v>
      </c>
      <c r="P6" s="9" t="s">
        <v>52</v>
      </c>
      <c r="R6" s="9"/>
      <c r="X6" s="1">
        <f>X5+273.15</f>
        <v>298.14999999999998</v>
      </c>
    </row>
    <row r="7" spans="2:30">
      <c r="C7" s="1" t="s">
        <v>37</v>
      </c>
      <c r="D7" s="1">
        <f>COUNTA(C11:C10001)</f>
        <v>3</v>
      </c>
      <c r="O7" s="1">
        <v>5</v>
      </c>
      <c r="P7" s="9" t="s">
        <v>53</v>
      </c>
      <c r="U7" s="9"/>
    </row>
    <row r="8" spans="2:30">
      <c r="U8" s="9"/>
    </row>
    <row r="9" spans="2:30">
      <c r="U9" s="9"/>
    </row>
    <row r="10" spans="2:30" ht="13.5" thickBot="1">
      <c r="B10" s="2"/>
      <c r="C10" s="17" t="s">
        <v>38</v>
      </c>
      <c r="D10" s="17" t="s">
        <v>39</v>
      </c>
      <c r="E10" s="17" t="s">
        <v>40</v>
      </c>
      <c r="F10" s="17" t="s">
        <v>41</v>
      </c>
      <c r="G10" s="17" t="s">
        <v>42</v>
      </c>
      <c r="H10" s="17" t="s">
        <v>43</v>
      </c>
      <c r="I10" s="17" t="s">
        <v>54</v>
      </c>
      <c r="J10" s="17" t="s">
        <v>55</v>
      </c>
      <c r="K10" s="17" t="s">
        <v>56</v>
      </c>
      <c r="L10" s="17" t="s">
        <v>57</v>
      </c>
      <c r="M10" s="17" t="s">
        <v>58</v>
      </c>
      <c r="N10" s="17" t="s">
        <v>59</v>
      </c>
      <c r="O10" s="17" t="s">
        <v>60</v>
      </c>
      <c r="P10" s="17" t="s">
        <v>44</v>
      </c>
      <c r="Q10" s="17" t="s">
        <v>45</v>
      </c>
      <c r="S10" s="17" t="s">
        <v>61</v>
      </c>
      <c r="T10" s="17" t="s">
        <v>62</v>
      </c>
      <c r="U10" s="9"/>
      <c r="AD10" s="7"/>
    </row>
    <row r="11" spans="2:30" ht="12.95" thickTop="1">
      <c r="C11" s="1" t="s">
        <v>22</v>
      </c>
      <c r="D11" s="1" t="s">
        <v>29</v>
      </c>
      <c r="E11" s="3">
        <v>2</v>
      </c>
      <c r="F11" s="3">
        <v>6</v>
      </c>
      <c r="G11">
        <v>-1.4830370900000001</v>
      </c>
      <c r="H11" s="8">
        <v>1.7792813599999999E-2</v>
      </c>
      <c r="I11" s="8">
        <v>-6.2955057999999995E-5</v>
      </c>
      <c r="J11">
        <v>7.0384099999999996E-8</v>
      </c>
      <c r="K11">
        <v>0</v>
      </c>
      <c r="L11">
        <v>0</v>
      </c>
      <c r="M11" s="27">
        <v>0</v>
      </c>
      <c r="N11" s="27">
        <v>0</v>
      </c>
      <c r="O11" s="27">
        <v>4</v>
      </c>
      <c r="P11" s="24"/>
      <c r="Q11" s="9"/>
      <c r="S11"/>
      <c r="T11"/>
      <c r="X11" s="41">
        <f>G11+H11*T+I11*T^2+J11*T^3+K11/T+L11*LN(T)+M11/(T-263)+N11/(680-T)</f>
        <v>9.1029912562292647E-2</v>
      </c>
    </row>
    <row r="12" spans="2:30">
      <c r="C12" s="1" t="s">
        <v>22</v>
      </c>
      <c r="D12" s="1" t="s">
        <v>27</v>
      </c>
      <c r="E12" s="3">
        <v>2</v>
      </c>
      <c r="F12" s="3">
        <v>5</v>
      </c>
      <c r="G12" s="27">
        <v>1.0507083800000001</v>
      </c>
      <c r="H12" s="27">
        <v>-6.32093298E-3</v>
      </c>
      <c r="I12" s="27">
        <v>1.6100572999999999E-5</v>
      </c>
      <c r="J12" s="27">
        <v>-1.4599400000000001E-8</v>
      </c>
      <c r="K12" s="27">
        <v>0</v>
      </c>
      <c r="L12" s="27">
        <v>0</v>
      </c>
      <c r="M12" s="27">
        <v>0</v>
      </c>
      <c r="N12" s="27">
        <v>0</v>
      </c>
      <c r="O12" s="27">
        <v>4</v>
      </c>
      <c r="P12" s="24"/>
      <c r="Q12" s="9"/>
      <c r="S12"/>
      <c r="T12"/>
      <c r="X12" s="41">
        <f>G12+H12*T+I12*T^2+J12*T^3+K12/T+L12*LN(T)+M12/(T-263)+N12/(680-T)</f>
        <v>0.21042097313016833</v>
      </c>
    </row>
    <row r="13" spans="2:30">
      <c r="C13" s="9" t="s">
        <v>22</v>
      </c>
      <c r="D13" s="9" t="s">
        <v>32</v>
      </c>
      <c r="E13" s="3">
        <v>2</v>
      </c>
      <c r="F13" s="3">
        <v>8</v>
      </c>
      <c r="G13" s="29">
        <v>0.1119</v>
      </c>
      <c r="H13" s="29">
        <v>0</v>
      </c>
      <c r="I13" s="29">
        <v>0</v>
      </c>
      <c r="J13" s="27">
        <v>0</v>
      </c>
      <c r="K13" s="27">
        <v>0</v>
      </c>
      <c r="L13" s="29">
        <v>0</v>
      </c>
      <c r="M13" s="27">
        <v>0</v>
      </c>
      <c r="N13" s="27">
        <v>0</v>
      </c>
      <c r="O13" s="27">
        <v>1</v>
      </c>
      <c r="P13" s="22"/>
      <c r="Q13" s="23"/>
      <c r="S13"/>
      <c r="T13"/>
    </row>
    <row r="14" spans="2:30">
      <c r="C14" s="9"/>
      <c r="D14" s="9"/>
      <c r="G14" s="27"/>
      <c r="H14" s="27"/>
      <c r="I14" s="27"/>
      <c r="J14" s="27"/>
      <c r="K14" s="27"/>
      <c r="L14" s="27"/>
      <c r="M14" s="27"/>
      <c r="N14" s="27"/>
      <c r="O14" s="27"/>
      <c r="P14" s="24"/>
      <c r="Q14" s="9"/>
      <c r="S14"/>
      <c r="T14"/>
    </row>
    <row r="15" spans="2:30">
      <c r="G15" s="27"/>
      <c r="H15" s="27"/>
      <c r="I15" s="27"/>
      <c r="J15" s="27"/>
      <c r="K15" s="27"/>
      <c r="L15" s="27"/>
      <c r="M15" s="27"/>
      <c r="N15" s="27"/>
      <c r="O15" s="27"/>
      <c r="P15" s="24"/>
      <c r="Q15" s="9"/>
      <c r="S15"/>
      <c r="T15"/>
    </row>
    <row r="16" spans="2:30">
      <c r="C16" s="9"/>
      <c r="D16" s="9"/>
      <c r="G16" s="27"/>
      <c r="H16" s="27"/>
      <c r="I16" s="27"/>
      <c r="J16" s="27"/>
      <c r="K16" s="27"/>
      <c r="L16" s="27"/>
      <c r="M16" s="27"/>
      <c r="N16" s="27"/>
      <c r="O16" s="27"/>
      <c r="P16" s="24"/>
      <c r="Q16" s="9"/>
      <c r="S16"/>
      <c r="T16"/>
    </row>
    <row r="17" spans="3:28">
      <c r="C17" s="9"/>
      <c r="D17" s="9"/>
      <c r="G17" s="27"/>
      <c r="H17" s="27"/>
      <c r="I17" s="27"/>
      <c r="J17" s="27"/>
      <c r="K17" s="27"/>
      <c r="L17" s="27"/>
      <c r="M17" s="27"/>
      <c r="N17" s="27"/>
      <c r="O17" s="27"/>
      <c r="P17" s="24"/>
      <c r="Q17" s="9"/>
      <c r="S17"/>
      <c r="T17"/>
    </row>
    <row r="18" spans="3:28">
      <c r="C18" s="9"/>
      <c r="D18" s="9"/>
      <c r="G18" s="27"/>
      <c r="H18" s="27"/>
      <c r="I18" s="27"/>
      <c r="J18" s="27"/>
      <c r="K18" s="27"/>
      <c r="L18" s="27"/>
      <c r="M18" s="27"/>
      <c r="N18" s="27"/>
      <c r="O18" s="27"/>
      <c r="P18" s="24"/>
      <c r="Q18" s="9"/>
      <c r="S18"/>
      <c r="T18"/>
      <c r="X18" s="1">
        <v>0</v>
      </c>
      <c r="Y18" s="1">
        <v>12.0425</v>
      </c>
      <c r="Z18" s="1">
        <v>0</v>
      </c>
      <c r="AB18" s="41">
        <f>X18+Y18/T+Z18*T</f>
        <v>4.0390742914640287E-2</v>
      </c>
    </row>
    <row r="19" spans="3:28">
      <c r="C19" s="9"/>
      <c r="D19" s="9"/>
      <c r="G19" s="27"/>
      <c r="H19" s="27"/>
      <c r="I19" s="27"/>
      <c r="J19" s="27"/>
      <c r="K19" s="27"/>
      <c r="L19" s="27"/>
      <c r="M19" s="27"/>
      <c r="N19" s="27"/>
      <c r="O19" s="27"/>
      <c r="P19" s="24"/>
      <c r="Q19" s="9"/>
      <c r="S19"/>
      <c r="T19"/>
      <c r="X19" s="1">
        <v>0.24106</v>
      </c>
      <c r="Y19" s="1">
        <v>22.045400000000001</v>
      </c>
      <c r="Z19" s="33">
        <v>-3.5117999999999998E-4</v>
      </c>
      <c r="AB19" s="41">
        <f>X19+Y19/T+Z19*T</f>
        <v>0.21029631690910616</v>
      </c>
    </row>
    <row r="20" spans="3:28">
      <c r="C20" s="9"/>
      <c r="D20" s="9"/>
      <c r="G20" s="27"/>
      <c r="H20" s="27"/>
      <c r="I20" s="27"/>
      <c r="J20" s="27"/>
      <c r="K20" s="27"/>
      <c r="L20" s="27"/>
      <c r="M20" s="27"/>
      <c r="N20" s="27"/>
      <c r="O20" s="27"/>
      <c r="P20" s="24"/>
      <c r="Q20" s="9"/>
      <c r="S20"/>
      <c r="T20"/>
    </row>
    <row r="21" spans="3:28">
      <c r="C21" s="9"/>
      <c r="D21" s="9"/>
      <c r="G21" s="27"/>
      <c r="H21" s="27"/>
      <c r="I21" s="27"/>
      <c r="J21" s="27"/>
      <c r="K21" s="27"/>
      <c r="L21" s="27"/>
      <c r="M21" s="27"/>
      <c r="N21" s="27"/>
      <c r="O21" s="27"/>
      <c r="P21" s="24"/>
      <c r="Q21" s="9"/>
      <c r="S21"/>
      <c r="T21"/>
    </row>
    <row r="22" spans="3:28">
      <c r="C22" s="9"/>
      <c r="D22" s="9"/>
      <c r="G22" s="30"/>
      <c r="H22" s="29"/>
      <c r="I22" s="29"/>
      <c r="J22" s="29"/>
      <c r="K22" s="29"/>
      <c r="L22" s="29"/>
      <c r="M22" s="27"/>
      <c r="N22" s="27"/>
      <c r="O22" s="27"/>
      <c r="P22" s="24"/>
      <c r="Q22" s="9"/>
      <c r="S22"/>
      <c r="T22"/>
    </row>
    <row r="23" spans="3:28">
      <c r="C23" s="9"/>
      <c r="D23" s="9"/>
      <c r="G23" s="27"/>
      <c r="H23" s="27"/>
      <c r="I23" s="27"/>
      <c r="J23" s="27"/>
      <c r="K23" s="27"/>
      <c r="L23" s="27"/>
      <c r="M23" s="27"/>
      <c r="N23" s="27"/>
      <c r="O23" s="27"/>
      <c r="P23" s="24"/>
      <c r="Q23" s="9"/>
      <c r="S23"/>
      <c r="T23"/>
    </row>
    <row r="24" spans="3:28">
      <c r="C24" s="9"/>
      <c r="D24" s="9"/>
      <c r="G24" s="27"/>
      <c r="H24" s="27"/>
      <c r="I24" s="27"/>
      <c r="J24" s="27"/>
      <c r="K24" s="27"/>
      <c r="L24" s="27"/>
      <c r="M24" s="27"/>
      <c r="N24" s="27"/>
      <c r="O24" s="27"/>
      <c r="P24" s="24"/>
      <c r="Q24" s="9"/>
      <c r="S24"/>
      <c r="T24"/>
    </row>
    <row r="25" spans="3:28">
      <c r="C25" s="9"/>
      <c r="D25" s="9"/>
      <c r="G25" s="27"/>
      <c r="H25" s="27"/>
      <c r="I25" s="27"/>
      <c r="J25" s="27"/>
      <c r="K25" s="27"/>
      <c r="L25" s="27"/>
      <c r="M25" s="27"/>
      <c r="N25" s="27"/>
      <c r="O25" s="27"/>
      <c r="S25"/>
      <c r="T25"/>
    </row>
    <row r="26" spans="3:28">
      <c r="C26" s="9"/>
      <c r="D26" s="9"/>
      <c r="G26" s="27"/>
      <c r="H26" s="27"/>
      <c r="I26" s="27"/>
      <c r="J26" s="27"/>
      <c r="K26" s="27"/>
      <c r="L26" s="27"/>
      <c r="M26" s="27"/>
      <c r="N26" s="27"/>
      <c r="O26" s="27"/>
      <c r="P26" s="24"/>
      <c r="Q26" s="9"/>
      <c r="S26"/>
      <c r="T26"/>
    </row>
    <row r="27" spans="3:28">
      <c r="C27" s="9"/>
      <c r="D27" s="9"/>
      <c r="G27" s="27"/>
      <c r="H27" s="27"/>
      <c r="I27" s="27"/>
      <c r="J27" s="27"/>
      <c r="K27" s="27"/>
      <c r="L27" s="27"/>
      <c r="M27" s="27"/>
      <c r="N27" s="27"/>
      <c r="O27" s="27"/>
      <c r="P27" s="24"/>
      <c r="Q27" s="9"/>
      <c r="S27"/>
      <c r="T27"/>
    </row>
    <row r="28" spans="3:28">
      <c r="C28" s="9"/>
      <c r="D28" s="9"/>
      <c r="G28" s="27"/>
      <c r="H28" s="27"/>
      <c r="I28" s="27"/>
      <c r="J28" s="27"/>
      <c r="K28" s="27"/>
      <c r="L28" s="27"/>
      <c r="M28" s="27"/>
      <c r="N28" s="27"/>
      <c r="O28" s="27"/>
      <c r="S28"/>
      <c r="T28"/>
    </row>
    <row r="29" spans="3:28">
      <c r="C29" s="9"/>
      <c r="D29" s="9"/>
      <c r="G29" s="27"/>
      <c r="H29" s="27"/>
      <c r="I29" s="27"/>
      <c r="J29" s="27"/>
      <c r="K29" s="27"/>
      <c r="L29" s="27"/>
      <c r="M29" s="27"/>
      <c r="N29" s="27"/>
      <c r="O29" s="27"/>
      <c r="P29" s="24"/>
      <c r="Q29" s="9"/>
      <c r="S29"/>
      <c r="T29"/>
    </row>
    <row r="30" spans="3:28">
      <c r="C30" s="9"/>
      <c r="D30" s="9"/>
      <c r="G30" s="27"/>
      <c r="H30" s="27"/>
      <c r="I30" s="27"/>
      <c r="J30" s="27"/>
      <c r="K30" s="27"/>
      <c r="L30" s="27"/>
      <c r="M30" s="27"/>
      <c r="N30" s="27"/>
      <c r="O30" s="27"/>
      <c r="P30" s="24"/>
      <c r="Q30" s="9"/>
      <c r="S30"/>
      <c r="T30"/>
    </row>
    <row r="31" spans="3:28">
      <c r="C31" s="9"/>
      <c r="D31" s="9"/>
      <c r="G31" s="27"/>
      <c r="H31" s="27"/>
      <c r="I31" s="27"/>
      <c r="J31" s="27"/>
      <c r="K31" s="27"/>
      <c r="L31" s="27"/>
      <c r="M31" s="27"/>
      <c r="N31" s="27"/>
      <c r="O31" s="27"/>
      <c r="P31" s="24"/>
      <c r="Q31" s="9"/>
      <c r="S31"/>
      <c r="T31"/>
    </row>
    <row r="32" spans="3:28">
      <c r="C32" s="9"/>
      <c r="D32" s="9"/>
      <c r="G32" s="27"/>
      <c r="H32" s="27"/>
      <c r="I32" s="27"/>
      <c r="J32" s="27"/>
      <c r="K32" s="27"/>
      <c r="L32" s="27"/>
      <c r="M32" s="27"/>
      <c r="N32" s="27"/>
      <c r="O32" s="27"/>
      <c r="S32"/>
      <c r="T32"/>
    </row>
    <row r="33" spans="3:20">
      <c r="C33" s="9"/>
      <c r="D33" s="9"/>
      <c r="G33" s="27"/>
      <c r="H33" s="27"/>
      <c r="I33" s="27"/>
      <c r="J33" s="27"/>
      <c r="K33" s="27"/>
      <c r="L33" s="27"/>
      <c r="M33" s="27"/>
      <c r="N33" s="27"/>
      <c r="O33" s="27"/>
      <c r="S33"/>
      <c r="T33"/>
    </row>
    <row r="34" spans="3:20">
      <c r="C34" s="9"/>
      <c r="D34" s="9"/>
      <c r="G34" s="27"/>
      <c r="H34" s="29"/>
      <c r="I34" s="29"/>
      <c r="J34" s="27"/>
      <c r="K34" s="27"/>
      <c r="L34" s="27"/>
      <c r="M34" s="27"/>
      <c r="N34" s="27"/>
      <c r="O34" s="27"/>
      <c r="S34"/>
      <c r="T34"/>
    </row>
    <row r="35" spans="3:20">
      <c r="C35" s="9"/>
      <c r="D35" s="9"/>
      <c r="G35" s="27"/>
      <c r="H35" s="27"/>
      <c r="I35" s="29"/>
      <c r="J35" s="27"/>
      <c r="K35" s="27"/>
      <c r="L35" s="27"/>
      <c r="M35" s="27"/>
      <c r="N35" s="27"/>
      <c r="O35" s="27"/>
      <c r="S35"/>
      <c r="T35"/>
    </row>
    <row r="36" spans="3:20">
      <c r="C36" s="9"/>
      <c r="D36" s="9"/>
      <c r="G36" s="27"/>
      <c r="H36" s="27"/>
      <c r="I36" s="27"/>
      <c r="J36" s="27"/>
      <c r="K36" s="27"/>
      <c r="L36" s="27"/>
      <c r="M36" s="27"/>
      <c r="N36" s="27"/>
      <c r="O36" s="27"/>
      <c r="P36" s="9"/>
      <c r="Q36" s="9"/>
      <c r="S36"/>
      <c r="T36"/>
    </row>
    <row r="37" spans="3:20">
      <c r="C37" s="9"/>
      <c r="D37" s="9"/>
      <c r="G37" s="27"/>
      <c r="H37" s="27"/>
      <c r="I37" s="27"/>
      <c r="J37" s="27"/>
      <c r="K37" s="27"/>
      <c r="L37" s="27"/>
      <c r="M37" s="27"/>
      <c r="N37" s="27"/>
      <c r="O37" s="27"/>
      <c r="Q37" s="9"/>
      <c r="S37"/>
      <c r="T37"/>
    </row>
    <row r="38" spans="3:20">
      <c r="C38" s="9"/>
      <c r="D38" s="9"/>
      <c r="G38" s="27"/>
      <c r="H38" s="27"/>
      <c r="I38" s="27"/>
      <c r="J38" s="27"/>
      <c r="K38" s="27"/>
      <c r="L38" s="27"/>
      <c r="M38" s="27"/>
      <c r="N38" s="27"/>
      <c r="O38" s="27"/>
      <c r="Q38" s="9"/>
      <c r="S38"/>
      <c r="T38"/>
    </row>
    <row r="39" spans="3:20">
      <c r="C39" s="9"/>
      <c r="D39" s="9"/>
      <c r="E39" s="25"/>
      <c r="F39" s="25"/>
      <c r="G39" s="8"/>
      <c r="H39" s="8"/>
      <c r="I39" s="8"/>
      <c r="J39"/>
      <c r="K39"/>
      <c r="L39" s="27"/>
      <c r="M39" s="27"/>
      <c r="N39" s="27"/>
      <c r="O39" s="27"/>
      <c r="Q39" s="9"/>
      <c r="S39"/>
      <c r="T39"/>
    </row>
    <row r="40" spans="3:20">
      <c r="C40" s="9"/>
      <c r="D40" s="9"/>
      <c r="G40" s="8"/>
      <c r="H40" s="8"/>
      <c r="I40" s="8"/>
      <c r="J40"/>
      <c r="K40"/>
      <c r="L40"/>
      <c r="M40" s="27"/>
      <c r="N40" s="27"/>
      <c r="O40" s="27"/>
      <c r="Q40" s="9"/>
      <c r="S40"/>
      <c r="T40"/>
    </row>
    <row r="41" spans="3:20">
      <c r="G41" s="27"/>
      <c r="H41" s="27"/>
      <c r="I41" s="27"/>
      <c r="J41" s="27"/>
      <c r="K41" s="27"/>
      <c r="L41" s="27"/>
      <c r="M41" s="27"/>
      <c r="N41" s="27"/>
      <c r="O41" s="27"/>
      <c r="S41"/>
      <c r="T41"/>
    </row>
    <row r="42" spans="3:20">
      <c r="G42" s="27"/>
      <c r="H42" s="27"/>
      <c r="I42" s="27"/>
      <c r="J42" s="27"/>
      <c r="K42" s="27"/>
      <c r="L42" s="27"/>
      <c r="M42" s="27"/>
      <c r="N42" s="27"/>
      <c r="O42" s="27"/>
      <c r="S42"/>
      <c r="T42"/>
    </row>
    <row r="43" spans="3:20">
      <c r="G43" s="27"/>
      <c r="H43" s="27"/>
      <c r="I43" s="27"/>
      <c r="J43" s="27"/>
      <c r="K43" s="27"/>
      <c r="L43" s="27"/>
      <c r="M43" s="27"/>
      <c r="N43" s="27"/>
      <c r="O43" s="27"/>
      <c r="S43"/>
      <c r="T43"/>
    </row>
    <row r="44" spans="3:20">
      <c r="D44" s="33"/>
      <c r="E44" s="34"/>
      <c r="G44" s="27"/>
      <c r="H44" s="27"/>
      <c r="I44" s="29"/>
      <c r="J44" s="27"/>
      <c r="K44" s="27"/>
      <c r="L44" s="27"/>
      <c r="M44" s="27"/>
      <c r="N44" s="27"/>
      <c r="O44" s="27"/>
      <c r="S44"/>
      <c r="T44"/>
    </row>
    <row r="45" spans="3:20">
      <c r="G45" s="27"/>
      <c r="H45" s="27"/>
      <c r="I45" s="29"/>
      <c r="J45" s="27"/>
      <c r="K45" s="27"/>
      <c r="L45" s="27"/>
      <c r="M45" s="27"/>
      <c r="N45" s="27"/>
      <c r="O45" s="27"/>
      <c r="S45"/>
      <c r="T45"/>
    </row>
    <row r="46" spans="3:20">
      <c r="G46" s="27"/>
      <c r="H46" s="27"/>
      <c r="I46" s="29"/>
      <c r="J46" s="27"/>
      <c r="K46" s="27"/>
      <c r="L46" s="27"/>
      <c r="M46" s="27"/>
      <c r="N46" s="27"/>
      <c r="O46" s="27"/>
      <c r="S46"/>
      <c r="T46"/>
    </row>
    <row r="47" spans="3:20">
      <c r="E47" s="25"/>
      <c r="F47" s="25"/>
      <c r="G47" s="27"/>
      <c r="H47" s="27"/>
      <c r="I47" s="27"/>
      <c r="J47" s="27"/>
      <c r="K47" s="27"/>
      <c r="L47" s="27"/>
      <c r="M47" s="27"/>
      <c r="N47" s="27"/>
      <c r="O47" s="27"/>
      <c r="S47"/>
      <c r="T47"/>
    </row>
    <row r="48" spans="3:20">
      <c r="G48" s="27"/>
      <c r="H48" s="27"/>
      <c r="I48" s="29"/>
      <c r="J48" s="27"/>
      <c r="K48" s="27"/>
      <c r="L48" s="27"/>
      <c r="M48" s="27"/>
      <c r="N48" s="27"/>
      <c r="O48" s="27"/>
      <c r="S48"/>
      <c r="T48"/>
    </row>
    <row r="49" spans="7:20">
      <c r="G49" s="27"/>
      <c r="H49" s="27"/>
      <c r="I49" s="29"/>
      <c r="J49" s="27"/>
      <c r="K49" s="27"/>
      <c r="L49" s="27"/>
      <c r="M49" s="27"/>
      <c r="N49" s="27"/>
      <c r="O49" s="27"/>
      <c r="S49"/>
      <c r="T49"/>
    </row>
    <row r="50" spans="7:20">
      <c r="G50" s="27"/>
      <c r="H50" s="27"/>
      <c r="I50" s="27"/>
      <c r="J50" s="27"/>
      <c r="K50" s="27"/>
      <c r="L50" s="27"/>
      <c r="M50" s="27"/>
      <c r="N50" s="27"/>
      <c r="O50" s="27"/>
      <c r="S50"/>
      <c r="T50"/>
    </row>
    <row r="51" spans="7:20">
      <c r="G51" s="27"/>
      <c r="H51" s="27"/>
      <c r="I51" s="27"/>
      <c r="J51" s="27"/>
      <c r="K51" s="27"/>
      <c r="L51" s="27"/>
      <c r="M51" s="27"/>
      <c r="N51" s="27"/>
      <c r="O51" s="27"/>
      <c r="S51"/>
      <c r="T51"/>
    </row>
    <row r="52" spans="7:20">
      <c r="G52" s="27"/>
      <c r="H52" s="27"/>
      <c r="I52" s="27"/>
      <c r="J52" s="27"/>
      <c r="K52" s="27"/>
      <c r="L52" s="27"/>
      <c r="M52" s="27"/>
      <c r="N52" s="27"/>
      <c r="O52" s="27"/>
      <c r="S52"/>
      <c r="T52"/>
    </row>
  </sheetData>
  <phoneticPr fontId="4" type="noConversion"/>
  <conditionalFormatting sqref="G11:O14 L43:O43 G40:O41 G45:O46 G16:O24 G26:O34 H25:O25 H44:O44 G48:O48 G51:O52">
    <cfRule type="cellIs" dxfId="134" priority="46" operator="equal">
      <formula>0</formula>
    </cfRule>
  </conditionalFormatting>
  <conditionalFormatting sqref="G38:O38 I36:O36 H37:O37">
    <cfRule type="cellIs" dxfId="133" priority="45" operator="equal">
      <formula>0</formula>
    </cfRule>
  </conditionalFormatting>
  <conditionalFormatting sqref="G25">
    <cfRule type="cellIs" dxfId="132" priority="41" operator="equal">
      <formula>0</formula>
    </cfRule>
  </conditionalFormatting>
  <conditionalFormatting sqref="G15:O15">
    <cfRule type="cellIs" dxfId="131" priority="40" operator="equal">
      <formula>0</formula>
    </cfRule>
  </conditionalFormatting>
  <conditionalFormatting sqref="G39:O39">
    <cfRule type="cellIs" dxfId="130" priority="39" operator="equal">
      <formula>0</formula>
    </cfRule>
  </conditionalFormatting>
  <conditionalFormatting sqref="G44">
    <cfRule type="cellIs" dxfId="129" priority="38" operator="equal">
      <formula>0</formula>
    </cfRule>
  </conditionalFormatting>
  <conditionalFormatting sqref="H36">
    <cfRule type="cellIs" dxfId="128" priority="30" operator="equal">
      <formula>0</formula>
    </cfRule>
  </conditionalFormatting>
  <conditionalFormatting sqref="G36">
    <cfRule type="cellIs" dxfId="127" priority="25" operator="equal">
      <formula>0</formula>
    </cfRule>
  </conditionalFormatting>
  <conditionalFormatting sqref="G37">
    <cfRule type="cellIs" dxfId="126" priority="22" operator="equal">
      <formula>0</formula>
    </cfRule>
  </conditionalFormatting>
  <conditionalFormatting sqref="G47:O47">
    <cfRule type="cellIs" dxfId="125" priority="21" operator="equal">
      <formula>0</formula>
    </cfRule>
  </conditionalFormatting>
  <conditionalFormatting sqref="I50:O50">
    <cfRule type="cellIs" dxfId="124" priority="18" operator="equal">
      <formula>0</formula>
    </cfRule>
  </conditionalFormatting>
  <conditionalFormatting sqref="H50">
    <cfRule type="cellIs" dxfId="123" priority="17" operator="equal">
      <formula>0</formula>
    </cfRule>
  </conditionalFormatting>
  <conditionalFormatting sqref="G50">
    <cfRule type="cellIs" dxfId="122" priority="16" operator="equal">
      <formula>0</formula>
    </cfRule>
  </conditionalFormatting>
  <conditionalFormatting sqref="I49:O49">
    <cfRule type="cellIs" dxfId="121" priority="12" operator="equal">
      <formula>0</formula>
    </cfRule>
  </conditionalFormatting>
  <conditionalFormatting sqref="H49">
    <cfRule type="cellIs" dxfId="120" priority="11" operator="equal">
      <formula>0</formula>
    </cfRule>
  </conditionalFormatting>
  <conditionalFormatting sqref="G49">
    <cfRule type="cellIs" dxfId="119" priority="10" operator="equal">
      <formula>0</formula>
    </cfRule>
  </conditionalFormatting>
  <conditionalFormatting sqref="I35:O35">
    <cfRule type="cellIs" dxfId="118" priority="6" operator="equal">
      <formula>0</formula>
    </cfRule>
  </conditionalFormatting>
  <conditionalFormatting sqref="H35">
    <cfRule type="cellIs" dxfId="117" priority="5" operator="equal">
      <formula>0</formula>
    </cfRule>
  </conditionalFormatting>
  <conditionalFormatting sqref="G35">
    <cfRule type="cellIs" dxfId="116" priority="4" operator="equal">
      <formula>0</formula>
    </cfRule>
  </conditionalFormatting>
  <conditionalFormatting sqref="G43:K43">
    <cfRule type="cellIs" dxfId="115" priority="3" operator="equal">
      <formula>0</formula>
    </cfRule>
  </conditionalFormatting>
  <conditionalFormatting sqref="G42:O42">
    <cfRule type="cellIs" dxfId="114" priority="1" operator="equal">
      <formula>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4" r:id="rId4" name="CmdSetIndex">
          <controlPr defaultSize="0" autoLine="0" r:id="rId5">
            <anchor moveWithCells="1">
              <from>
                <xdr:col>7</xdr:col>
                <xdr:colOff>285750</xdr:colOff>
                <xdr:row>1</xdr:row>
                <xdr:rowOff>260350</xdr:rowOff>
              </from>
              <to>
                <xdr:col>9</xdr:col>
                <xdr:colOff>488950</xdr:colOff>
                <xdr:row>5</xdr:row>
                <xdr:rowOff>50800</xdr:rowOff>
              </to>
            </anchor>
          </controlPr>
        </control>
      </mc:Choice>
      <mc:Fallback>
        <control shapeId="1034" r:id="rId4" name="CmdSetInde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/>
  <dimension ref="B2:AC52"/>
  <sheetViews>
    <sheetView zoomScale="80" workbookViewId="0">
      <selection activeCell="C13" sqref="C13:F13"/>
    </sheetView>
  </sheetViews>
  <sheetFormatPr defaultColWidth="9.140625" defaultRowHeight="12.6"/>
  <cols>
    <col min="1" max="1" width="3.7109375" style="1" customWidth="1"/>
    <col min="2" max="2" width="9.140625" style="1"/>
    <col min="3" max="4" width="10.7109375" style="1" customWidth="1"/>
    <col min="5" max="6" width="10.7109375" style="3" customWidth="1"/>
    <col min="7" max="15" width="10.7109375" style="1" customWidth="1"/>
    <col min="16" max="16" width="9.140625" style="1"/>
    <col min="17" max="17" width="12.85546875" style="1" customWidth="1"/>
    <col min="18" max="16384" width="9.140625" style="1"/>
  </cols>
  <sheetData>
    <row r="2" spans="2:29" ht="23.1">
      <c r="B2" s="5" t="s">
        <v>63</v>
      </c>
    </row>
    <row r="4" spans="2:29" ht="12.95">
      <c r="C4" s="2" t="s">
        <v>11</v>
      </c>
      <c r="D4" s="10" t="s">
        <v>64</v>
      </c>
      <c r="E4" s="11"/>
      <c r="F4" s="11"/>
    </row>
    <row r="5" spans="2:29" ht="13.5" thickBot="1">
      <c r="E5" s="1"/>
      <c r="F5" s="1"/>
      <c r="Y5" s="17" t="s">
        <v>58</v>
      </c>
      <c r="Z5" s="17" t="s">
        <v>59</v>
      </c>
      <c r="AA5" s="17" t="s">
        <v>60</v>
      </c>
    </row>
    <row r="6" spans="2:29" ht="12.95" thickTop="1">
      <c r="E6" s="1"/>
      <c r="F6" s="1"/>
    </row>
    <row r="7" spans="2:29">
      <c r="C7" s="1" t="s">
        <v>37</v>
      </c>
      <c r="D7" s="1">
        <f>COUNTA(C11:C10001)</f>
        <v>3</v>
      </c>
    </row>
    <row r="10" spans="2:29" ht="13.5" thickBot="1">
      <c r="B10" s="2"/>
      <c r="C10" s="17" t="s">
        <v>38</v>
      </c>
      <c r="D10" s="17" t="s">
        <v>39</v>
      </c>
      <c r="E10" s="17" t="s">
        <v>40</v>
      </c>
      <c r="F10" s="17" t="s">
        <v>41</v>
      </c>
      <c r="G10" s="17" t="s">
        <v>42</v>
      </c>
      <c r="H10" s="17" t="s">
        <v>43</v>
      </c>
      <c r="I10" s="17" t="s">
        <v>54</v>
      </c>
      <c r="J10" s="17" t="s">
        <v>55</v>
      </c>
      <c r="K10" s="17" t="s">
        <v>56</v>
      </c>
      <c r="L10" s="17" t="s">
        <v>57</v>
      </c>
      <c r="M10" s="17" t="s">
        <v>58</v>
      </c>
      <c r="N10" s="17" t="s">
        <v>59</v>
      </c>
      <c r="O10" s="17" t="s">
        <v>60</v>
      </c>
      <c r="P10" s="17" t="s">
        <v>44</v>
      </c>
      <c r="Q10" s="17" t="s">
        <v>45</v>
      </c>
      <c r="S10" s="17" t="s">
        <v>61</v>
      </c>
      <c r="T10" s="17" t="s">
        <v>62</v>
      </c>
    </row>
    <row r="11" spans="2:29" ht="12.95" thickTop="1">
      <c r="C11" s="1" t="s">
        <v>22</v>
      </c>
      <c r="D11" s="1" t="s">
        <v>29</v>
      </c>
      <c r="E11" s="3">
        <v>2</v>
      </c>
      <c r="F11" s="3">
        <v>6</v>
      </c>
      <c r="G11">
        <v>0</v>
      </c>
      <c r="H11" s="8">
        <v>0</v>
      </c>
      <c r="I11" s="8">
        <v>0</v>
      </c>
      <c r="J11">
        <v>0</v>
      </c>
      <c r="K11">
        <v>0</v>
      </c>
      <c r="L11">
        <v>0</v>
      </c>
      <c r="M11" s="27">
        <v>0</v>
      </c>
      <c r="N11" s="27">
        <v>0</v>
      </c>
      <c r="O11" s="27">
        <v>4</v>
      </c>
      <c r="P11" s="24"/>
      <c r="Q11" s="9"/>
      <c r="S11"/>
      <c r="T11"/>
      <c r="X11" s="41">
        <f>G11+H11*T+I11*T^2+J11*T^3+K11/T+L11*LN(T)+M11/(T-263)+N11/(680-T)</f>
        <v>0</v>
      </c>
    </row>
    <row r="12" spans="2:29">
      <c r="C12" s="1" t="s">
        <v>22</v>
      </c>
      <c r="D12" s="1" t="s">
        <v>27</v>
      </c>
      <c r="E12" s="3">
        <v>2</v>
      </c>
      <c r="F12" s="3">
        <v>5</v>
      </c>
      <c r="G12">
        <v>0.20249616300000001</v>
      </c>
      <c r="H12">
        <v>1.60079716E-3</v>
      </c>
      <c r="I12">
        <v>-2.68455E-6</v>
      </c>
      <c r="J12">
        <v>0</v>
      </c>
      <c r="K12">
        <v>0</v>
      </c>
      <c r="L12">
        <v>0</v>
      </c>
      <c r="M12" s="27">
        <v>0</v>
      </c>
      <c r="N12" s="27">
        <v>0</v>
      </c>
      <c r="O12" s="27">
        <v>4</v>
      </c>
      <c r="P12" s="24"/>
      <c r="Q12" s="9"/>
      <c r="S12"/>
      <c r="T12"/>
      <c r="X12" s="41">
        <f>G12+H12*T+I12*T^2+J12*T^3+K12/T+L12*LN(T)+M12/(T-263)+N12/(680-T)</f>
        <v>0.44113499888162505</v>
      </c>
    </row>
    <row r="13" spans="2:29">
      <c r="C13" s="9" t="s">
        <v>22</v>
      </c>
      <c r="D13" s="9" t="s">
        <v>32</v>
      </c>
      <c r="E13" s="3">
        <v>2</v>
      </c>
      <c r="F13" s="3">
        <v>8</v>
      </c>
      <c r="G13" s="8">
        <v>0.3206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27">
        <v>0</v>
      </c>
      <c r="N13" s="27">
        <v>0</v>
      </c>
      <c r="O13" s="27">
        <v>1</v>
      </c>
      <c r="P13" s="24"/>
      <c r="Q13" s="9"/>
      <c r="S13"/>
      <c r="T13"/>
    </row>
    <row r="14" spans="2:29">
      <c r="C14" s="9"/>
      <c r="D14" s="9"/>
      <c r="G14"/>
      <c r="H14"/>
      <c r="I14"/>
      <c r="J14"/>
      <c r="K14"/>
      <c r="L14"/>
      <c r="M14" s="27"/>
      <c r="N14" s="27"/>
      <c r="O14" s="27"/>
      <c r="P14" s="24"/>
      <c r="Q14" s="9"/>
      <c r="S14"/>
      <c r="T14"/>
    </row>
    <row r="15" spans="2:29">
      <c r="G15"/>
      <c r="H15"/>
      <c r="I15"/>
      <c r="J15"/>
      <c r="K15"/>
      <c r="L15"/>
      <c r="M15" s="27"/>
      <c r="N15" s="27"/>
      <c r="O15" s="27"/>
      <c r="P15" s="24"/>
      <c r="Q15" s="9"/>
      <c r="S15"/>
      <c r="T15"/>
      <c r="AC15" s="1">
        <f>T</f>
        <v>298.14999999999998</v>
      </c>
    </row>
    <row r="16" spans="2:29">
      <c r="C16" s="9"/>
      <c r="D16" s="9"/>
      <c r="G16"/>
      <c r="H16"/>
      <c r="I16"/>
      <c r="J16"/>
      <c r="K16"/>
      <c r="L16"/>
      <c r="M16" s="27"/>
      <c r="N16" s="27"/>
      <c r="O16" s="27"/>
      <c r="P16" s="24"/>
      <c r="Q16" s="9"/>
      <c r="S16"/>
      <c r="T16"/>
    </row>
    <row r="17" spans="3:29">
      <c r="C17" s="9"/>
      <c r="D17" s="9"/>
      <c r="G17"/>
      <c r="H17"/>
      <c r="I17"/>
      <c r="J17"/>
      <c r="K17"/>
      <c r="L17"/>
      <c r="M17" s="27"/>
      <c r="N17" s="27"/>
      <c r="O17" s="27"/>
      <c r="P17" s="24"/>
      <c r="Q17" s="9"/>
      <c r="S17"/>
      <c r="T17"/>
    </row>
    <row r="18" spans="3:29">
      <c r="C18" s="9"/>
      <c r="D18" s="9"/>
      <c r="G18"/>
      <c r="H18"/>
      <c r="I18"/>
      <c r="J18"/>
      <c r="K18"/>
      <c r="L18"/>
      <c r="M18" s="27"/>
      <c r="N18" s="27"/>
      <c r="O18" s="27"/>
      <c r="P18" s="24"/>
      <c r="Q18" s="9"/>
      <c r="S18"/>
      <c r="T18"/>
      <c r="Y18" s="1">
        <v>0.333982</v>
      </c>
      <c r="Z18" s="1">
        <v>39.295999999999999</v>
      </c>
      <c r="AA18" s="1">
        <v>0</v>
      </c>
      <c r="AC18" s="1">
        <f>Y18+Z18/AC15+AA18*AC15</f>
        <v>0.46578142981720611</v>
      </c>
    </row>
    <row r="19" spans="3:29">
      <c r="C19" s="9"/>
      <c r="D19" s="9"/>
      <c r="G19"/>
      <c r="H19"/>
      <c r="I19"/>
      <c r="J19"/>
      <c r="K19"/>
      <c r="L19"/>
      <c r="M19" s="27"/>
      <c r="N19" s="27"/>
      <c r="O19" s="27"/>
      <c r="P19" s="24"/>
      <c r="Q19" s="9"/>
      <c r="S19"/>
      <c r="T19"/>
    </row>
    <row r="20" spans="3:29">
      <c r="C20" s="9"/>
      <c r="D20" s="9"/>
      <c r="G20"/>
      <c r="H20"/>
      <c r="I20"/>
      <c r="J20"/>
      <c r="K20"/>
      <c r="L20"/>
      <c r="M20" s="27"/>
      <c r="N20" s="27"/>
      <c r="O20" s="27"/>
      <c r="P20" s="24"/>
      <c r="Q20" s="9"/>
      <c r="S20"/>
      <c r="T20"/>
    </row>
    <row r="21" spans="3:29">
      <c r="C21" s="9"/>
      <c r="D21" s="9"/>
      <c r="G21"/>
      <c r="H21"/>
      <c r="I21"/>
      <c r="J21"/>
      <c r="K21"/>
      <c r="L21"/>
      <c r="M21" s="27"/>
      <c r="N21" s="27"/>
      <c r="O21" s="27"/>
      <c r="P21" s="24"/>
      <c r="Q21" s="9"/>
      <c r="S21"/>
      <c r="T21"/>
    </row>
    <row r="22" spans="3:29">
      <c r="C22" s="9"/>
      <c r="D22" s="9"/>
      <c r="G22" s="26"/>
      <c r="H22" s="8"/>
      <c r="I22"/>
      <c r="J22"/>
      <c r="K22"/>
      <c r="L22" s="8"/>
      <c r="M22" s="27"/>
      <c r="N22" s="27"/>
      <c r="O22" s="27"/>
      <c r="P22" s="24"/>
      <c r="Q22" s="9"/>
      <c r="S22"/>
      <c r="T22"/>
    </row>
    <row r="23" spans="3:29">
      <c r="C23" s="9"/>
      <c r="D23" s="9"/>
      <c r="G23" s="8"/>
      <c r="H23"/>
      <c r="I23"/>
      <c r="J23"/>
      <c r="K23"/>
      <c r="L23"/>
      <c r="M23" s="27"/>
      <c r="N23" s="27"/>
      <c r="O23" s="27"/>
      <c r="P23" s="24"/>
      <c r="Q23" s="9"/>
      <c r="S23"/>
      <c r="T23"/>
    </row>
    <row r="24" spans="3:29">
      <c r="C24" s="9"/>
      <c r="D24" s="9"/>
      <c r="G24"/>
      <c r="H24"/>
      <c r="I24"/>
      <c r="J24"/>
      <c r="K24"/>
      <c r="L24"/>
      <c r="M24" s="27"/>
      <c r="N24" s="27"/>
      <c r="O24" s="27"/>
      <c r="P24" s="24"/>
      <c r="Q24" s="9"/>
      <c r="S24"/>
      <c r="T24"/>
    </row>
    <row r="25" spans="3:29">
      <c r="C25" s="9"/>
      <c r="D25" s="9"/>
      <c r="G25"/>
      <c r="H25" s="8"/>
      <c r="I25"/>
      <c r="J25"/>
      <c r="K25"/>
      <c r="L25"/>
      <c r="M25" s="27"/>
      <c r="N25" s="27"/>
      <c r="O25" s="27"/>
      <c r="S25"/>
      <c r="T25"/>
    </row>
    <row r="26" spans="3:29">
      <c r="C26" s="9"/>
      <c r="D26" s="9"/>
      <c r="G26"/>
      <c r="H26"/>
      <c r="I26"/>
      <c r="J26"/>
      <c r="K26"/>
      <c r="L26"/>
      <c r="M26" s="27"/>
      <c r="N26" s="27"/>
      <c r="O26" s="27"/>
      <c r="P26" s="24"/>
      <c r="Q26" s="9"/>
      <c r="S26"/>
      <c r="T26"/>
    </row>
    <row r="27" spans="3:29" ht="12.95">
      <c r="C27" s="9"/>
      <c r="D27" s="9"/>
      <c r="G27" s="28"/>
      <c r="H27" s="28"/>
      <c r="I27" s="28"/>
      <c r="J27" s="28"/>
      <c r="K27" s="28"/>
      <c r="L27" s="28"/>
      <c r="M27" s="27"/>
      <c r="N27" s="27"/>
      <c r="O27" s="27"/>
      <c r="P27" s="24"/>
      <c r="Q27" s="9"/>
      <c r="S27"/>
      <c r="T27"/>
    </row>
    <row r="28" spans="3:29">
      <c r="C28" s="9"/>
      <c r="D28" s="9"/>
      <c r="G28"/>
      <c r="H28"/>
      <c r="I28"/>
      <c r="J28"/>
      <c r="K28"/>
      <c r="L28"/>
      <c r="M28" s="27"/>
      <c r="N28" s="27"/>
      <c r="O28" s="27"/>
      <c r="S28"/>
      <c r="T28"/>
    </row>
    <row r="29" spans="3:29">
      <c r="C29" s="9"/>
      <c r="D29" s="9"/>
      <c r="G29"/>
      <c r="H29"/>
      <c r="I29"/>
      <c r="J29"/>
      <c r="K29"/>
      <c r="L29"/>
      <c r="M29" s="27"/>
      <c r="N29" s="27"/>
      <c r="O29" s="27"/>
      <c r="P29" s="24"/>
      <c r="Q29" s="9"/>
      <c r="S29"/>
      <c r="T29"/>
    </row>
    <row r="30" spans="3:29">
      <c r="C30" s="9"/>
      <c r="D30" s="9"/>
      <c r="G30"/>
      <c r="H30"/>
      <c r="I30"/>
      <c r="J30"/>
      <c r="K30"/>
      <c r="L30"/>
      <c r="M30" s="27"/>
      <c r="N30" s="27"/>
      <c r="O30" s="27"/>
      <c r="P30" s="24"/>
      <c r="Q30" s="9"/>
      <c r="S30"/>
      <c r="T30"/>
    </row>
    <row r="31" spans="3:29">
      <c r="C31" s="9"/>
      <c r="D31" s="9"/>
      <c r="G31"/>
      <c r="H31"/>
      <c r="I31"/>
      <c r="J31"/>
      <c r="K31"/>
      <c r="L31"/>
      <c r="M31" s="27"/>
      <c r="N31" s="27"/>
      <c r="O31" s="27"/>
      <c r="P31" s="24"/>
      <c r="Q31" s="9"/>
      <c r="S31"/>
      <c r="T31"/>
    </row>
    <row r="32" spans="3:29">
      <c r="C32" s="9"/>
      <c r="D32" s="9"/>
      <c r="G32" s="27"/>
      <c r="H32" s="29"/>
      <c r="I32" s="27"/>
      <c r="J32" s="27"/>
      <c r="K32" s="27"/>
      <c r="L32" s="27"/>
      <c r="M32" s="27"/>
      <c r="N32" s="27"/>
      <c r="O32" s="27"/>
      <c r="S32"/>
      <c r="T32"/>
    </row>
    <row r="33" spans="3:20">
      <c r="C33" s="9"/>
      <c r="D33" s="9"/>
      <c r="G33"/>
      <c r="H33"/>
      <c r="I33"/>
      <c r="J33"/>
      <c r="K33"/>
      <c r="L33"/>
      <c r="M33"/>
      <c r="N33"/>
      <c r="O33"/>
      <c r="S33"/>
      <c r="T33"/>
    </row>
    <row r="34" spans="3:20">
      <c r="C34" s="9"/>
      <c r="D34" s="9"/>
      <c r="G34" s="27"/>
      <c r="H34" s="29"/>
      <c r="I34" s="29"/>
      <c r="J34" s="27"/>
      <c r="K34" s="27"/>
      <c r="L34" s="27"/>
      <c r="M34" s="27"/>
      <c r="N34" s="27"/>
      <c r="O34" s="27"/>
      <c r="S34"/>
      <c r="T34"/>
    </row>
    <row r="35" spans="3:20">
      <c r="C35" s="9"/>
      <c r="D35" s="9"/>
      <c r="G35" s="27"/>
      <c r="H35" s="27"/>
      <c r="I35"/>
      <c r="J35"/>
      <c r="K35"/>
      <c r="L35"/>
      <c r="M35"/>
      <c r="N35"/>
      <c r="O35" s="27"/>
      <c r="S35"/>
      <c r="T35"/>
    </row>
    <row r="36" spans="3:20">
      <c r="C36" s="9"/>
      <c r="D36" s="9"/>
      <c r="G36" s="27"/>
      <c r="H36" s="27"/>
      <c r="I36"/>
      <c r="J36"/>
      <c r="K36"/>
      <c r="L36"/>
      <c r="M36"/>
      <c r="N36"/>
      <c r="O36"/>
      <c r="P36" s="9"/>
      <c r="Q36" s="9"/>
      <c r="S36"/>
      <c r="T36"/>
    </row>
    <row r="37" spans="3:20">
      <c r="C37" s="9"/>
      <c r="D37" s="9"/>
      <c r="G37"/>
      <c r="H37"/>
      <c r="I37"/>
      <c r="J37"/>
      <c r="K37"/>
      <c r="L37"/>
      <c r="M37"/>
      <c r="N37"/>
      <c r="O37"/>
      <c r="Q37" s="9"/>
      <c r="S37"/>
      <c r="T37"/>
    </row>
    <row r="38" spans="3:20">
      <c r="C38" s="9"/>
      <c r="D38" s="9"/>
      <c r="G38"/>
      <c r="H38"/>
      <c r="I38"/>
      <c r="J38"/>
      <c r="K38"/>
      <c r="L38"/>
      <c r="M38"/>
      <c r="N38"/>
      <c r="O38"/>
      <c r="Q38" s="9"/>
      <c r="S38"/>
      <c r="T38"/>
    </row>
    <row r="39" spans="3:20">
      <c r="C39" s="9"/>
      <c r="D39" s="9"/>
      <c r="G39" s="8"/>
      <c r="H39"/>
      <c r="I39" s="8"/>
      <c r="J39"/>
      <c r="K39"/>
      <c r="L39"/>
      <c r="M39"/>
      <c r="N39"/>
      <c r="O39"/>
      <c r="Q39" s="9"/>
      <c r="S39"/>
      <c r="T39"/>
    </row>
    <row r="40" spans="3:20">
      <c r="C40" s="9"/>
      <c r="D40" s="9"/>
      <c r="G40"/>
      <c r="H40"/>
      <c r="I40" s="8"/>
      <c r="J40"/>
      <c r="K40"/>
      <c r="L40"/>
      <c r="M40"/>
      <c r="N40"/>
      <c r="O40"/>
      <c r="Q40" s="9"/>
      <c r="S40"/>
      <c r="T40"/>
    </row>
    <row r="41" spans="3:20">
      <c r="G41" s="27"/>
      <c r="H41" s="27"/>
      <c r="I41" s="27"/>
      <c r="J41"/>
      <c r="K41"/>
      <c r="L41"/>
      <c r="M41"/>
      <c r="N41"/>
      <c r="O41"/>
      <c r="S41"/>
      <c r="T41"/>
    </row>
    <row r="42" spans="3:20">
      <c r="G42"/>
      <c r="H42"/>
      <c r="I42"/>
      <c r="J42"/>
      <c r="K42"/>
      <c r="L42"/>
      <c r="M42"/>
      <c r="N42"/>
      <c r="O42"/>
      <c r="S42"/>
      <c r="T42"/>
    </row>
    <row r="43" spans="3:20">
      <c r="G43"/>
      <c r="H43"/>
      <c r="I43"/>
      <c r="J43"/>
      <c r="K43"/>
      <c r="L43"/>
      <c r="M43"/>
      <c r="N43"/>
      <c r="O43"/>
      <c r="S43"/>
      <c r="T43"/>
    </row>
    <row r="44" spans="3:20">
      <c r="G44"/>
      <c r="H44"/>
      <c r="I44"/>
      <c r="J44"/>
      <c r="K44"/>
      <c r="L44"/>
      <c r="M44"/>
      <c r="N44"/>
      <c r="O44"/>
      <c r="S44"/>
      <c r="T44"/>
    </row>
    <row r="45" spans="3:20">
      <c r="G45"/>
      <c r="H45"/>
      <c r="I45"/>
      <c r="J45"/>
      <c r="K45"/>
      <c r="L45"/>
      <c r="M45" s="27"/>
      <c r="N45" s="27"/>
      <c r="O45" s="27"/>
      <c r="S45"/>
      <c r="T45"/>
    </row>
    <row r="46" spans="3:20">
      <c r="G46"/>
      <c r="H46"/>
      <c r="I46"/>
      <c r="J46"/>
      <c r="K46"/>
      <c r="L46"/>
      <c r="M46"/>
      <c r="N46"/>
      <c r="O46"/>
      <c r="S46"/>
      <c r="T46"/>
    </row>
    <row r="47" spans="3:20">
      <c r="G47" s="27"/>
      <c r="H47" s="27"/>
      <c r="I47"/>
      <c r="J47"/>
      <c r="K47"/>
      <c r="L47"/>
      <c r="M47"/>
      <c r="N47"/>
      <c r="O47" s="27"/>
      <c r="S47"/>
      <c r="T47"/>
    </row>
    <row r="48" spans="3:20">
      <c r="G48" s="27"/>
      <c r="H48" s="27"/>
      <c r="I48" s="27"/>
      <c r="J48" s="27"/>
      <c r="K48" s="27"/>
      <c r="L48" s="27"/>
      <c r="M48" s="27"/>
      <c r="N48" s="27"/>
      <c r="O48" s="27"/>
      <c r="S48"/>
      <c r="T48"/>
    </row>
    <row r="49" spans="7:20">
      <c r="G49"/>
      <c r="H49"/>
      <c r="I49"/>
      <c r="J49"/>
      <c r="K49"/>
      <c r="L49"/>
      <c r="M49"/>
      <c r="N49"/>
      <c r="O49"/>
      <c r="S49"/>
      <c r="T49"/>
    </row>
    <row r="50" spans="7:20">
      <c r="G50"/>
      <c r="H50"/>
      <c r="I50"/>
      <c r="J50"/>
      <c r="K50"/>
      <c r="L50"/>
      <c r="M50"/>
      <c r="N50"/>
      <c r="O50"/>
      <c r="S50"/>
      <c r="T50"/>
    </row>
    <row r="51" spans="7:20">
      <c r="G51"/>
      <c r="H51"/>
      <c r="I51"/>
      <c r="J51"/>
      <c r="K51"/>
      <c r="L51"/>
      <c r="M51"/>
      <c r="N51"/>
      <c r="O51"/>
      <c r="S51"/>
      <c r="T51"/>
    </row>
    <row r="52" spans="7:20">
      <c r="G52"/>
      <c r="H52"/>
      <c r="I52"/>
      <c r="J52"/>
      <c r="K52"/>
      <c r="L52"/>
      <c r="M52"/>
      <c r="N52"/>
      <c r="O52"/>
      <c r="S52"/>
      <c r="T52"/>
    </row>
  </sheetData>
  <phoneticPr fontId="4" type="noConversion"/>
  <conditionalFormatting sqref="G11:L14 G33:O33 G28:L31 G37:O40 J41:O41 G46:O46 G16:L26 I36:O36 G49:O52 G42:O44">
    <cfRule type="cellIs" dxfId="113" priority="50" operator="equal">
      <formula>0</formula>
    </cfRule>
  </conditionalFormatting>
  <conditionalFormatting sqref="M11:O14 M16:O31">
    <cfRule type="cellIs" dxfId="112" priority="49" operator="equal">
      <formula>0</formula>
    </cfRule>
  </conditionalFormatting>
  <conditionalFormatting sqref="I32:O32">
    <cfRule type="cellIs" dxfId="111" priority="48" operator="equal">
      <formula>0</formula>
    </cfRule>
  </conditionalFormatting>
  <conditionalFormatting sqref="G32:H32">
    <cfRule type="cellIs" dxfId="110" priority="46" operator="equal">
      <formula>0</formula>
    </cfRule>
  </conditionalFormatting>
  <conditionalFormatting sqref="G34:O34">
    <cfRule type="cellIs" dxfId="109" priority="45" operator="equal">
      <formula>0</formula>
    </cfRule>
  </conditionalFormatting>
  <conditionalFormatting sqref="G41:I41">
    <cfRule type="cellIs" dxfId="108" priority="44" operator="equal">
      <formula>0</formula>
    </cfRule>
  </conditionalFormatting>
  <conditionalFormatting sqref="G45:L45">
    <cfRule type="cellIs" dxfId="107" priority="43" operator="equal">
      <formula>0</formula>
    </cfRule>
  </conditionalFormatting>
  <conditionalFormatting sqref="M45:O45">
    <cfRule type="cellIs" dxfId="106" priority="42" operator="equal">
      <formula>0</formula>
    </cfRule>
  </conditionalFormatting>
  <conditionalFormatting sqref="G15:L15">
    <cfRule type="cellIs" dxfId="105" priority="39" operator="equal">
      <formula>0</formula>
    </cfRule>
  </conditionalFormatting>
  <conditionalFormatting sqref="M15:O15">
    <cfRule type="cellIs" dxfId="104" priority="38" operator="equal">
      <formula>0</formula>
    </cfRule>
  </conditionalFormatting>
  <conditionalFormatting sqref="H36">
    <cfRule type="cellIs" dxfId="103" priority="35" operator="equal">
      <formula>0</formula>
    </cfRule>
  </conditionalFormatting>
  <conditionalFormatting sqref="G36">
    <cfRule type="cellIs" dxfId="102" priority="33" operator="equal">
      <formula>0</formula>
    </cfRule>
  </conditionalFormatting>
  <conditionalFormatting sqref="I48:O48">
    <cfRule type="cellIs" dxfId="101" priority="29" operator="equal">
      <formula>0</formula>
    </cfRule>
  </conditionalFormatting>
  <conditionalFormatting sqref="I48">
    <cfRule type="cellIs" dxfId="100" priority="28" operator="equal">
      <formula>0</formula>
    </cfRule>
  </conditionalFormatting>
  <conditionalFormatting sqref="H48">
    <cfRule type="cellIs" dxfId="99" priority="27" operator="equal">
      <formula>0</formula>
    </cfRule>
  </conditionalFormatting>
  <conditionalFormatting sqref="I47:N47">
    <cfRule type="cellIs" dxfId="98" priority="21" operator="equal">
      <formula>0</formula>
    </cfRule>
  </conditionalFormatting>
  <conditionalFormatting sqref="H47">
    <cfRule type="cellIs" dxfId="97" priority="20" operator="equal">
      <formula>0</formula>
    </cfRule>
  </conditionalFormatting>
  <conditionalFormatting sqref="G47">
    <cfRule type="cellIs" dxfId="96" priority="19" operator="equal">
      <formula>0</formula>
    </cfRule>
  </conditionalFormatting>
  <conditionalFormatting sqref="O47">
    <cfRule type="cellIs" dxfId="95" priority="18" operator="equal">
      <formula>0</formula>
    </cfRule>
  </conditionalFormatting>
  <conditionalFormatting sqref="H48">
    <cfRule type="cellIs" dxfId="94" priority="17" operator="equal">
      <formula>0</formula>
    </cfRule>
  </conditionalFormatting>
  <conditionalFormatting sqref="G48">
    <cfRule type="cellIs" dxfId="93" priority="16" operator="equal">
      <formula>0</formula>
    </cfRule>
  </conditionalFormatting>
  <conditionalFormatting sqref="I35:N35">
    <cfRule type="cellIs" dxfId="92" priority="5" operator="equal">
      <formula>0</formula>
    </cfRule>
  </conditionalFormatting>
  <conditionalFormatting sqref="H35">
    <cfRule type="cellIs" dxfId="91" priority="4" operator="equal">
      <formula>0</formula>
    </cfRule>
  </conditionalFormatting>
  <conditionalFormatting sqref="G35">
    <cfRule type="cellIs" dxfId="90" priority="3" operator="equal">
      <formula>0</formula>
    </cfRule>
  </conditionalFormatting>
  <conditionalFormatting sqref="O35">
    <cfRule type="cellIs" dxfId="89" priority="2" operator="equal">
      <formula>0</formula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6</xdr:col>
                <xdr:colOff>685800</xdr:colOff>
                <xdr:row>1</xdr:row>
                <xdr:rowOff>279400</xdr:rowOff>
              </from>
              <to>
                <xdr:col>9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/>
  <dimension ref="B2:T52"/>
  <sheetViews>
    <sheetView zoomScale="80" workbookViewId="0">
      <selection activeCell="C11" sqref="C11:R17"/>
    </sheetView>
  </sheetViews>
  <sheetFormatPr defaultColWidth="9.140625" defaultRowHeight="12.6"/>
  <cols>
    <col min="1" max="1" width="3.7109375" style="1" customWidth="1"/>
    <col min="2" max="2" width="9.140625" style="1"/>
    <col min="3" max="4" width="10.7109375" style="1" customWidth="1"/>
    <col min="5" max="6" width="10.7109375" style="3" customWidth="1"/>
    <col min="7" max="15" width="10.7109375" style="1" customWidth="1"/>
    <col min="16" max="16384" width="9.140625" style="1"/>
  </cols>
  <sheetData>
    <row r="2" spans="2:20" ht="23.1">
      <c r="B2" s="5" t="s">
        <v>65</v>
      </c>
    </row>
    <row r="4" spans="2:20" ht="12.95">
      <c r="C4" s="2" t="s">
        <v>11</v>
      </c>
      <c r="D4" s="10" t="s">
        <v>66</v>
      </c>
      <c r="E4" s="11"/>
      <c r="F4" s="11"/>
    </row>
    <row r="5" spans="2:20">
      <c r="E5" s="1"/>
      <c r="F5" s="1"/>
    </row>
    <row r="7" spans="2:20">
      <c r="C7" s="1" t="s">
        <v>37</v>
      </c>
      <c r="D7" s="1">
        <f>COUNTA(C11:C10001)</f>
        <v>0</v>
      </c>
    </row>
    <row r="10" spans="2:20" ht="13.5" thickBot="1">
      <c r="B10" s="2"/>
      <c r="C10" s="17" t="s">
        <v>38</v>
      </c>
      <c r="D10" s="17" t="s">
        <v>39</v>
      </c>
      <c r="E10" s="17" t="s">
        <v>40</v>
      </c>
      <c r="F10" s="17" t="s">
        <v>41</v>
      </c>
      <c r="G10" s="17" t="s">
        <v>42</v>
      </c>
      <c r="H10" s="17" t="s">
        <v>43</v>
      </c>
      <c r="I10" s="17" t="s">
        <v>54</v>
      </c>
      <c r="J10" s="17" t="s">
        <v>55</v>
      </c>
      <c r="K10" s="17" t="s">
        <v>56</v>
      </c>
      <c r="L10" s="17" t="s">
        <v>57</v>
      </c>
      <c r="M10" s="17" t="s">
        <v>58</v>
      </c>
      <c r="N10" s="17" t="s">
        <v>59</v>
      </c>
      <c r="O10" s="17" t="s">
        <v>60</v>
      </c>
      <c r="S10" s="17" t="s">
        <v>61</v>
      </c>
      <c r="T10" s="17" t="s">
        <v>62</v>
      </c>
    </row>
    <row r="11" spans="2:20" ht="12.95" thickTop="1">
      <c r="C11" s="9"/>
      <c r="D11" s="9"/>
      <c r="G11" s="27"/>
      <c r="H11" s="27"/>
      <c r="I11" s="27"/>
      <c r="J11" s="27"/>
      <c r="K11" s="27"/>
      <c r="L11" s="27"/>
      <c r="M11" s="27"/>
      <c r="N11" s="27"/>
      <c r="O11" s="27"/>
      <c r="P11" s="24"/>
      <c r="Q11" s="9"/>
      <c r="S11"/>
      <c r="T11"/>
    </row>
    <row r="12" spans="2:20">
      <c r="C12" s="9"/>
      <c r="D12" s="9"/>
      <c r="G12"/>
      <c r="H12"/>
      <c r="I12"/>
      <c r="J12" s="8"/>
      <c r="K12"/>
      <c r="L12"/>
      <c r="M12" s="27"/>
      <c r="N12" s="27"/>
      <c r="O12" s="27"/>
      <c r="S12"/>
      <c r="T12"/>
    </row>
    <row r="13" spans="2:20">
      <c r="C13" s="9"/>
      <c r="D13" s="9"/>
      <c r="G13" s="27"/>
      <c r="H13" s="27"/>
      <c r="I13" s="27"/>
      <c r="J13" s="27"/>
      <c r="K13" s="27"/>
      <c r="L13" s="27"/>
      <c r="M13" s="27"/>
      <c r="N13" s="27"/>
      <c r="O13" s="27"/>
      <c r="P13" s="24"/>
      <c r="Q13" s="9"/>
      <c r="S13"/>
      <c r="T13"/>
    </row>
    <row r="14" spans="2:20">
      <c r="C14" s="9"/>
      <c r="D14" s="9"/>
      <c r="G14" s="27"/>
      <c r="H14" s="27"/>
      <c r="I14" s="27"/>
      <c r="J14" s="27"/>
      <c r="K14" s="27"/>
      <c r="L14" s="27"/>
      <c r="M14" s="27"/>
      <c r="N14" s="27"/>
      <c r="O14" s="27"/>
      <c r="P14" s="24"/>
      <c r="Q14" s="9"/>
      <c r="S14"/>
      <c r="T14"/>
    </row>
    <row r="15" spans="2:20">
      <c r="C15" s="9"/>
      <c r="D15" s="9"/>
      <c r="G15" s="27"/>
      <c r="H15" s="27"/>
      <c r="I15" s="27"/>
      <c r="J15" s="27"/>
      <c r="K15" s="27"/>
      <c r="L15" s="27"/>
      <c r="M15" s="27"/>
      <c r="N15" s="27"/>
      <c r="O15" s="27"/>
      <c r="S15"/>
      <c r="T15"/>
    </row>
    <row r="16" spans="2:20">
      <c r="C16" s="9"/>
      <c r="D16" s="9"/>
      <c r="G16" s="27"/>
      <c r="H16" s="27"/>
      <c r="I16" s="27"/>
      <c r="J16" s="27"/>
      <c r="K16" s="27"/>
      <c r="L16" s="27"/>
      <c r="M16" s="27"/>
      <c r="N16" s="27"/>
      <c r="O16" s="27"/>
      <c r="S16"/>
      <c r="T16"/>
    </row>
    <row r="17" spans="3:20">
      <c r="C17" s="9"/>
      <c r="D17" s="9"/>
      <c r="G17" s="27"/>
      <c r="H17" s="27"/>
      <c r="I17" s="27"/>
      <c r="J17" s="27"/>
      <c r="K17" s="27"/>
      <c r="L17" s="27"/>
      <c r="M17" s="27"/>
      <c r="N17" s="27"/>
      <c r="O17" s="27"/>
      <c r="S17"/>
      <c r="T17"/>
    </row>
    <row r="18" spans="3:20">
      <c r="G18" s="27"/>
      <c r="H18" s="27"/>
      <c r="I18" s="27"/>
      <c r="J18" s="27"/>
      <c r="K18" s="27"/>
      <c r="L18" s="27"/>
      <c r="M18" s="27"/>
      <c r="N18" s="27"/>
      <c r="O18" s="27"/>
      <c r="S18"/>
      <c r="T18"/>
    </row>
    <row r="19" spans="3:20">
      <c r="G19" s="27"/>
      <c r="H19" s="27"/>
      <c r="I19" s="27"/>
      <c r="J19" s="27"/>
      <c r="K19" s="27"/>
      <c r="L19" s="27"/>
      <c r="M19" s="27"/>
      <c r="N19" s="27"/>
      <c r="O19" s="27"/>
      <c r="S19"/>
      <c r="T19"/>
    </row>
    <row r="20" spans="3:20">
      <c r="G20" s="27"/>
      <c r="H20" s="27"/>
      <c r="I20" s="27"/>
      <c r="J20" s="27"/>
      <c r="K20" s="27"/>
      <c r="L20" s="27"/>
      <c r="M20" s="27"/>
      <c r="N20" s="27"/>
      <c r="O20" s="27"/>
      <c r="S20"/>
      <c r="T20"/>
    </row>
    <row r="21" spans="3:20">
      <c r="G21" s="27"/>
      <c r="H21" s="27"/>
      <c r="I21" s="27"/>
      <c r="J21" s="27"/>
      <c r="K21" s="27"/>
      <c r="L21" s="27"/>
      <c r="M21" s="27"/>
      <c r="N21" s="27"/>
      <c r="O21" s="27"/>
      <c r="S21"/>
      <c r="T21"/>
    </row>
    <row r="22" spans="3:20">
      <c r="G22" s="27"/>
      <c r="H22" s="27"/>
      <c r="I22" s="27"/>
      <c r="J22" s="27"/>
      <c r="K22" s="27"/>
      <c r="L22" s="27"/>
      <c r="M22" s="27"/>
      <c r="N22" s="27"/>
      <c r="O22" s="27"/>
      <c r="S22"/>
      <c r="T22"/>
    </row>
    <row r="23" spans="3:20">
      <c r="G23" s="27"/>
      <c r="H23" s="27"/>
      <c r="I23" s="27"/>
      <c r="J23" s="27"/>
      <c r="K23" s="27"/>
      <c r="L23" s="27"/>
      <c r="M23" s="27"/>
      <c r="N23" s="27"/>
      <c r="O23" s="27"/>
      <c r="S23"/>
      <c r="T23"/>
    </row>
    <row r="24" spans="3:20">
      <c r="G24" s="27"/>
      <c r="H24" s="27"/>
      <c r="I24" s="27"/>
      <c r="J24" s="27"/>
      <c r="K24" s="27"/>
      <c r="L24" s="27"/>
      <c r="M24" s="27"/>
      <c r="N24" s="27"/>
      <c r="O24" s="27"/>
      <c r="S24"/>
      <c r="T24"/>
    </row>
    <row r="25" spans="3:20">
      <c r="G25" s="27"/>
      <c r="H25" s="27"/>
      <c r="I25" s="27"/>
      <c r="J25" s="27"/>
      <c r="K25" s="27"/>
      <c r="L25" s="27"/>
      <c r="M25" s="27"/>
      <c r="N25" s="27"/>
      <c r="O25" s="27"/>
      <c r="S25"/>
      <c r="T25"/>
    </row>
    <row r="26" spans="3:20">
      <c r="G26" s="27"/>
      <c r="H26" s="27"/>
      <c r="I26" s="27"/>
      <c r="J26" s="27"/>
      <c r="K26" s="27"/>
      <c r="L26" s="27"/>
      <c r="M26" s="27"/>
      <c r="N26" s="27"/>
      <c r="O26" s="27"/>
      <c r="S26"/>
      <c r="T26"/>
    </row>
    <row r="27" spans="3:20">
      <c r="G27" s="27"/>
      <c r="H27" s="27"/>
      <c r="I27" s="27"/>
      <c r="J27" s="27"/>
      <c r="K27" s="27"/>
      <c r="L27" s="27"/>
      <c r="M27" s="27"/>
      <c r="N27" s="27"/>
      <c r="O27" s="27"/>
      <c r="S27"/>
      <c r="T27"/>
    </row>
    <row r="28" spans="3:20">
      <c r="G28" s="27"/>
      <c r="H28" s="27"/>
      <c r="I28" s="27"/>
      <c r="J28" s="27"/>
      <c r="K28" s="27"/>
      <c r="L28" s="27"/>
      <c r="M28" s="27"/>
      <c r="N28" s="27"/>
      <c r="O28" s="27"/>
      <c r="S28"/>
      <c r="T28"/>
    </row>
    <row r="29" spans="3:20">
      <c r="G29" s="27"/>
      <c r="H29" s="27"/>
      <c r="I29" s="27"/>
      <c r="J29" s="27"/>
      <c r="K29" s="27"/>
      <c r="L29" s="27"/>
      <c r="M29" s="27"/>
      <c r="N29" s="27"/>
      <c r="O29" s="27"/>
      <c r="S29"/>
      <c r="T29"/>
    </row>
    <row r="30" spans="3:20">
      <c r="G30" s="27"/>
      <c r="H30" s="27"/>
      <c r="I30" s="27"/>
      <c r="J30" s="27"/>
      <c r="K30" s="27"/>
      <c r="L30" s="27"/>
      <c r="M30" s="27"/>
      <c r="N30" s="27"/>
      <c r="O30" s="27"/>
      <c r="S30"/>
      <c r="T30"/>
    </row>
    <row r="31" spans="3:20">
      <c r="G31" s="27"/>
      <c r="H31" s="27"/>
      <c r="I31" s="27"/>
      <c r="J31" s="27"/>
      <c r="K31" s="27"/>
      <c r="L31" s="27"/>
      <c r="M31" s="27"/>
      <c r="N31" s="27"/>
      <c r="O31" s="27"/>
      <c r="S31"/>
      <c r="T31"/>
    </row>
    <row r="32" spans="3:20">
      <c r="G32" s="27"/>
      <c r="H32" s="27"/>
      <c r="I32" s="27"/>
      <c r="J32" s="27"/>
      <c r="K32" s="27"/>
      <c r="L32" s="27"/>
      <c r="M32" s="27"/>
      <c r="N32" s="27"/>
      <c r="O32" s="27"/>
      <c r="S32"/>
      <c r="T32"/>
    </row>
    <row r="33" spans="7:20">
      <c r="G33" s="27"/>
      <c r="H33" s="27"/>
      <c r="I33" s="27"/>
      <c r="J33" s="27"/>
      <c r="K33" s="27"/>
      <c r="L33" s="27"/>
      <c r="M33" s="27"/>
      <c r="N33" s="27"/>
      <c r="O33" s="27"/>
      <c r="S33"/>
      <c r="T33"/>
    </row>
    <row r="34" spans="7:20">
      <c r="G34" s="27"/>
      <c r="H34" s="27"/>
      <c r="I34" s="27"/>
      <c r="J34" s="27"/>
      <c r="K34" s="27"/>
      <c r="L34" s="27"/>
      <c r="M34" s="27"/>
      <c r="N34" s="27"/>
      <c r="O34" s="27"/>
      <c r="S34"/>
      <c r="T34"/>
    </row>
    <row r="35" spans="7:20">
      <c r="G35" s="27"/>
      <c r="H35" s="27"/>
      <c r="I35" s="27"/>
      <c r="J35" s="27"/>
      <c r="K35" s="27"/>
      <c r="L35" s="27"/>
      <c r="M35" s="27"/>
      <c r="N35" s="27"/>
      <c r="O35" s="27"/>
      <c r="S35"/>
      <c r="T35"/>
    </row>
    <row r="36" spans="7:20">
      <c r="G36" s="27"/>
      <c r="H36" s="27"/>
      <c r="I36" s="27"/>
      <c r="J36" s="27"/>
      <c r="K36" s="27"/>
      <c r="L36" s="27"/>
      <c r="M36" s="27"/>
      <c r="N36" s="27"/>
      <c r="O36" s="27"/>
      <c r="S36"/>
      <c r="T36"/>
    </row>
    <row r="37" spans="7:20">
      <c r="G37" s="27"/>
      <c r="H37" s="27"/>
      <c r="I37" s="27"/>
      <c r="J37" s="27"/>
      <c r="K37" s="27"/>
      <c r="L37" s="27"/>
      <c r="M37" s="27"/>
      <c r="N37" s="27"/>
      <c r="O37" s="27"/>
      <c r="S37"/>
      <c r="T37"/>
    </row>
    <row r="38" spans="7:20">
      <c r="G38" s="27"/>
      <c r="H38" s="27"/>
      <c r="I38" s="27"/>
      <c r="J38" s="27"/>
      <c r="K38" s="27"/>
      <c r="L38" s="27"/>
      <c r="M38" s="27"/>
      <c r="N38" s="27"/>
      <c r="O38" s="27"/>
      <c r="S38"/>
      <c r="T38"/>
    </row>
    <row r="39" spans="7:20">
      <c r="G39" s="27"/>
      <c r="H39" s="27"/>
      <c r="I39" s="27"/>
      <c r="J39" s="27"/>
      <c r="K39" s="27"/>
      <c r="L39" s="27"/>
      <c r="M39" s="27"/>
      <c r="N39" s="27"/>
      <c r="O39" s="27"/>
      <c r="S39"/>
      <c r="T39"/>
    </row>
    <row r="40" spans="7:20">
      <c r="G40" s="27"/>
      <c r="H40" s="27"/>
      <c r="I40" s="27"/>
      <c r="J40" s="27"/>
      <c r="K40" s="27"/>
      <c r="L40" s="27"/>
      <c r="M40" s="27"/>
      <c r="N40" s="27"/>
      <c r="O40" s="27"/>
      <c r="S40"/>
      <c r="T40"/>
    </row>
    <row r="41" spans="7:20">
      <c r="G41" s="27"/>
      <c r="H41" s="27"/>
      <c r="I41" s="27"/>
      <c r="J41" s="27"/>
      <c r="K41" s="27"/>
      <c r="L41" s="27"/>
      <c r="M41" s="27"/>
      <c r="N41" s="27"/>
      <c r="O41" s="27"/>
      <c r="S41"/>
      <c r="T41"/>
    </row>
    <row r="42" spans="7:20">
      <c r="G42" s="27"/>
      <c r="H42" s="27"/>
      <c r="I42" s="27"/>
      <c r="J42" s="27"/>
      <c r="K42" s="27"/>
      <c r="L42" s="27"/>
      <c r="M42" s="27"/>
      <c r="N42" s="27"/>
      <c r="O42" s="27"/>
      <c r="S42"/>
      <c r="T42"/>
    </row>
    <row r="43" spans="7:20">
      <c r="G43" s="27"/>
      <c r="H43" s="27"/>
      <c r="I43" s="27"/>
      <c r="J43" s="27"/>
      <c r="K43" s="27"/>
      <c r="L43" s="27"/>
      <c r="M43" s="27"/>
      <c r="N43" s="27"/>
      <c r="O43" s="27"/>
      <c r="S43"/>
      <c r="T43"/>
    </row>
    <row r="44" spans="7:20">
      <c r="G44" s="27"/>
      <c r="H44" s="27"/>
      <c r="I44" s="27"/>
      <c r="J44" s="27"/>
      <c r="K44" s="27"/>
      <c r="L44" s="27"/>
      <c r="M44" s="27"/>
      <c r="N44" s="27"/>
      <c r="O44" s="27"/>
      <c r="S44"/>
      <c r="T44"/>
    </row>
    <row r="45" spans="7:20">
      <c r="G45" s="27"/>
      <c r="H45" s="27"/>
      <c r="I45" s="27"/>
      <c r="J45" s="27"/>
      <c r="K45" s="27"/>
      <c r="L45" s="27"/>
      <c r="M45" s="27"/>
      <c r="N45" s="27"/>
      <c r="O45" s="27"/>
      <c r="S45"/>
      <c r="T45"/>
    </row>
    <row r="46" spans="7:20">
      <c r="G46" s="27"/>
      <c r="H46" s="27"/>
      <c r="I46" s="27"/>
      <c r="J46" s="27"/>
      <c r="K46" s="27"/>
      <c r="L46" s="27"/>
      <c r="M46" s="27"/>
      <c r="N46" s="27"/>
      <c r="O46" s="27"/>
      <c r="S46"/>
      <c r="T46"/>
    </row>
    <row r="47" spans="7:20">
      <c r="G47" s="27"/>
      <c r="H47" s="27"/>
      <c r="I47" s="27"/>
      <c r="J47" s="27"/>
      <c r="K47" s="27"/>
      <c r="L47" s="27"/>
      <c r="M47" s="27"/>
      <c r="N47" s="27"/>
      <c r="O47" s="27"/>
      <c r="S47"/>
      <c r="T47"/>
    </row>
    <row r="48" spans="7:20">
      <c r="G48" s="27"/>
      <c r="H48" s="27"/>
      <c r="I48" s="27"/>
      <c r="J48" s="27"/>
      <c r="K48" s="27"/>
      <c r="L48" s="27"/>
      <c r="M48" s="27"/>
      <c r="N48" s="27"/>
      <c r="O48" s="27"/>
      <c r="S48"/>
      <c r="T48"/>
    </row>
    <row r="49" spans="7:20">
      <c r="G49" s="27"/>
      <c r="H49" s="27"/>
      <c r="I49" s="27"/>
      <c r="J49" s="27"/>
      <c r="K49" s="27"/>
      <c r="L49" s="27"/>
      <c r="M49" s="27"/>
      <c r="N49" s="27"/>
      <c r="O49" s="27"/>
      <c r="S49"/>
      <c r="T49"/>
    </row>
    <row r="50" spans="7:20">
      <c r="G50" s="27"/>
      <c r="H50" s="27"/>
      <c r="I50" s="27"/>
      <c r="J50" s="27"/>
      <c r="K50" s="27"/>
      <c r="L50" s="27"/>
      <c r="M50" s="27"/>
      <c r="N50" s="27"/>
      <c r="O50" s="27"/>
      <c r="S50"/>
      <c r="T50"/>
    </row>
    <row r="51" spans="7:20">
      <c r="G51" s="27"/>
      <c r="H51" s="27"/>
      <c r="I51" s="27"/>
      <c r="J51" s="27"/>
      <c r="K51" s="27"/>
      <c r="L51" s="27"/>
      <c r="M51" s="27"/>
      <c r="N51" s="27"/>
      <c r="O51" s="27"/>
      <c r="S51"/>
      <c r="T51"/>
    </row>
    <row r="52" spans="7:20">
      <c r="G52" s="27"/>
      <c r="H52" s="27"/>
      <c r="I52" s="27"/>
      <c r="J52" s="27"/>
      <c r="K52" s="27"/>
      <c r="L52" s="27"/>
      <c r="M52" s="27"/>
      <c r="N52" s="27"/>
      <c r="O52" s="27"/>
      <c r="S52"/>
      <c r="T52"/>
    </row>
  </sheetData>
  <phoneticPr fontId="4" type="noConversion"/>
  <conditionalFormatting sqref="G11:O11 G13:O16 G30:O52 G18:O28">
    <cfRule type="cellIs" dxfId="88" priority="20" operator="equal">
      <formula>0</formula>
    </cfRule>
  </conditionalFormatting>
  <conditionalFormatting sqref="M11:O11 M16:O16 M13:O14 M30:O31 M18:O28">
    <cfRule type="cellIs" dxfId="87" priority="19" operator="equal">
      <formula>0</formula>
    </cfRule>
  </conditionalFormatting>
  <conditionalFormatting sqref="I15:O15">
    <cfRule type="cellIs" dxfId="86" priority="16" operator="equal">
      <formula>0</formula>
    </cfRule>
  </conditionalFormatting>
  <conditionalFormatting sqref="G18:H18">
    <cfRule type="cellIs" dxfId="85" priority="15" operator="equal">
      <formula>0</formula>
    </cfRule>
  </conditionalFormatting>
  <conditionalFormatting sqref="G21:H21">
    <cfRule type="cellIs" dxfId="84" priority="13" operator="equal">
      <formula>0</formula>
    </cfRule>
  </conditionalFormatting>
  <conditionalFormatting sqref="G15:H15">
    <cfRule type="cellIs" dxfId="83" priority="12" operator="equal">
      <formula>0</formula>
    </cfRule>
  </conditionalFormatting>
  <conditionalFormatting sqref="H16">
    <cfRule type="cellIs" dxfId="82" priority="11" operator="equal">
      <formula>0</formula>
    </cfRule>
  </conditionalFormatting>
  <conditionalFormatting sqref="M12:O12">
    <cfRule type="cellIs" dxfId="81" priority="10" operator="equal">
      <formula>0</formula>
    </cfRule>
  </conditionalFormatting>
  <conditionalFormatting sqref="H12:I12 K12:L12">
    <cfRule type="cellIs" dxfId="80" priority="9" operator="equal">
      <formula>0</formula>
    </cfRule>
  </conditionalFormatting>
  <conditionalFormatting sqref="G12">
    <cfRule type="cellIs" dxfId="79" priority="8" operator="equal">
      <formula>0</formula>
    </cfRule>
  </conditionalFormatting>
  <conditionalFormatting sqref="G29:O29">
    <cfRule type="cellIs" dxfId="78" priority="7" operator="equal">
      <formula>0</formula>
    </cfRule>
  </conditionalFormatting>
  <conditionalFormatting sqref="M29:O29">
    <cfRule type="cellIs" dxfId="77" priority="6" operator="equal">
      <formula>0</formula>
    </cfRule>
  </conditionalFormatting>
  <conditionalFormatting sqref="O17">
    <cfRule type="cellIs" dxfId="76" priority="5" operator="equal">
      <formula>0</formula>
    </cfRule>
  </conditionalFormatting>
  <conditionalFormatting sqref="O17">
    <cfRule type="cellIs" dxfId="75" priority="4" operator="equal">
      <formula>0</formula>
    </cfRule>
  </conditionalFormatting>
  <conditionalFormatting sqref="G17:N17">
    <cfRule type="cellIs" dxfId="74" priority="2" operator="equal">
      <formula>0</formula>
    </cfRule>
  </conditionalFormatting>
  <conditionalFormatting sqref="M17:N17">
    <cfRule type="cellIs" dxfId="73" priority="1" operator="equal">
      <formula>0</formula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6</xdr:col>
                <xdr:colOff>679450</xdr:colOff>
                <xdr:row>2</xdr:row>
                <xdr:rowOff>38100</xdr:rowOff>
              </from>
              <to>
                <xdr:col>9</xdr:col>
                <xdr:colOff>127000</xdr:colOff>
                <xdr:row>5</xdr:row>
                <xdr:rowOff>127000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7"/>
  <dimension ref="B2:X52"/>
  <sheetViews>
    <sheetView zoomScale="80" workbookViewId="0">
      <selection activeCell="P13" sqref="P13"/>
    </sheetView>
  </sheetViews>
  <sheetFormatPr defaultColWidth="9.140625" defaultRowHeight="12.6"/>
  <cols>
    <col min="1" max="1" width="3.7109375" style="1" customWidth="1"/>
    <col min="2" max="2" width="9.140625" style="1"/>
    <col min="3" max="4" width="10.7109375" style="1" customWidth="1"/>
    <col min="5" max="6" width="10.7109375" style="3" customWidth="1"/>
    <col min="7" max="15" width="10.7109375" style="1" customWidth="1"/>
    <col min="16" max="16384" width="9.140625" style="1"/>
  </cols>
  <sheetData>
    <row r="2" spans="2:24" ht="23.1">
      <c r="B2" s="5" t="s">
        <v>67</v>
      </c>
    </row>
    <row r="4" spans="2:24" ht="12.95">
      <c r="C4" s="2" t="s">
        <v>11</v>
      </c>
      <c r="D4" s="10" t="s">
        <v>68</v>
      </c>
      <c r="E4" s="11"/>
      <c r="F4" s="11"/>
    </row>
    <row r="5" spans="2:24">
      <c r="E5" s="1"/>
      <c r="F5" s="1"/>
    </row>
    <row r="7" spans="2:24">
      <c r="C7" s="1" t="s">
        <v>37</v>
      </c>
      <c r="D7" s="1">
        <f>COUNTA(C11:C10001)</f>
        <v>3</v>
      </c>
    </row>
    <row r="10" spans="2:24" ht="13.5" thickBot="1">
      <c r="B10" s="2"/>
      <c r="C10" s="17" t="s">
        <v>38</v>
      </c>
      <c r="D10" s="17" t="s">
        <v>39</v>
      </c>
      <c r="E10" s="17" t="s">
        <v>40</v>
      </c>
      <c r="F10" s="17" t="s">
        <v>41</v>
      </c>
      <c r="G10" s="17" t="s">
        <v>42</v>
      </c>
      <c r="H10" s="17" t="s">
        <v>43</v>
      </c>
      <c r="I10" s="17" t="s">
        <v>54</v>
      </c>
      <c r="J10" s="17" t="s">
        <v>55</v>
      </c>
      <c r="K10" s="17" t="s">
        <v>56</v>
      </c>
      <c r="L10" s="17" t="s">
        <v>57</v>
      </c>
      <c r="M10" s="17" t="s">
        <v>58</v>
      </c>
      <c r="N10" s="17" t="s">
        <v>59</v>
      </c>
      <c r="O10" s="17" t="s">
        <v>60</v>
      </c>
      <c r="P10" s="17" t="s">
        <v>44</v>
      </c>
      <c r="Q10" s="17" t="s">
        <v>45</v>
      </c>
      <c r="S10" s="17" t="s">
        <v>61</v>
      </c>
      <c r="T10" s="17" t="s">
        <v>62</v>
      </c>
    </row>
    <row r="11" spans="2:24" ht="12.95" thickTop="1">
      <c r="C11" s="1" t="s">
        <v>22</v>
      </c>
      <c r="D11" s="1" t="s">
        <v>29</v>
      </c>
      <c r="E11" s="3">
        <v>2</v>
      </c>
      <c r="F11" s="3">
        <v>6</v>
      </c>
      <c r="G11">
        <v>-2.5411988499999998</v>
      </c>
      <c r="H11">
        <v>2.14343886E-2</v>
      </c>
      <c r="I11">
        <v>-5.7013755000000003E-5</v>
      </c>
      <c r="J11">
        <v>4.8065799999999998E-8</v>
      </c>
      <c r="K11">
        <v>0</v>
      </c>
      <c r="L11">
        <v>0</v>
      </c>
      <c r="M11" s="27">
        <v>0</v>
      </c>
      <c r="N11" s="27">
        <v>0</v>
      </c>
      <c r="O11" s="27">
        <v>4</v>
      </c>
      <c r="P11" s="24"/>
      <c r="Q11" s="9"/>
      <c r="S11"/>
      <c r="T11"/>
      <c r="X11" s="41">
        <f>G11+H11*T+I11*T^2+J11*T^3+K11/T+L11*LN(T)+M11/(T-263)+N11/(680-T)</f>
        <v>5.5231782809341601E-2</v>
      </c>
    </row>
    <row r="12" spans="2:24">
      <c r="C12" s="1" t="s">
        <v>22</v>
      </c>
      <c r="D12" s="1" t="s">
        <v>27</v>
      </c>
      <c r="E12" s="3">
        <v>2</v>
      </c>
      <c r="F12" s="3">
        <v>5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s="27">
        <v>0</v>
      </c>
      <c r="N12" s="27">
        <v>0</v>
      </c>
      <c r="O12" s="27">
        <v>4</v>
      </c>
      <c r="P12" s="24"/>
      <c r="Q12" s="9"/>
      <c r="S12"/>
      <c r="T12"/>
      <c r="X12" s="33">
        <f>G12+H12*T+I12*T^2+J12*T^3+K12/T+L12*LN(T)+M12/(T-263)+N12/(680-T)</f>
        <v>0</v>
      </c>
    </row>
    <row r="13" spans="2:24">
      <c r="C13" s="9" t="s">
        <v>22</v>
      </c>
      <c r="D13" s="9" t="s">
        <v>32</v>
      </c>
      <c r="E13" s="3">
        <v>2</v>
      </c>
      <c r="F13" s="3">
        <v>8</v>
      </c>
      <c r="G13" s="8">
        <v>1E-3</v>
      </c>
      <c r="H13" s="8">
        <v>0</v>
      </c>
      <c r="I13">
        <v>0</v>
      </c>
      <c r="J13" s="8">
        <v>0</v>
      </c>
      <c r="K13" s="8">
        <v>0</v>
      </c>
      <c r="L13" s="8">
        <v>0</v>
      </c>
      <c r="M13" s="29">
        <v>0</v>
      </c>
      <c r="N13" s="29">
        <v>0</v>
      </c>
      <c r="O13" s="27">
        <v>1</v>
      </c>
      <c r="P13" s="24"/>
      <c r="Q13" s="9"/>
      <c r="S13"/>
      <c r="T13"/>
    </row>
    <row r="14" spans="2:24">
      <c r="C14" s="9"/>
      <c r="D14" s="9"/>
      <c r="G14"/>
      <c r="H14"/>
      <c r="I14"/>
      <c r="J14"/>
      <c r="K14"/>
      <c r="L14"/>
      <c r="M14" s="27"/>
      <c r="N14" s="27"/>
      <c r="O14" s="27"/>
      <c r="P14" s="24"/>
      <c r="Q14" s="9"/>
      <c r="S14"/>
      <c r="T14"/>
    </row>
    <row r="15" spans="2:24">
      <c r="G15"/>
      <c r="H15"/>
      <c r="I15"/>
      <c r="J15"/>
      <c r="K15"/>
      <c r="L15"/>
      <c r="M15" s="27"/>
      <c r="N15" s="27"/>
      <c r="O15" s="27"/>
      <c r="P15" s="24"/>
      <c r="Q15" s="9"/>
      <c r="S15"/>
      <c r="T15"/>
    </row>
    <row r="16" spans="2:24">
      <c r="C16" s="9"/>
      <c r="D16" s="9"/>
      <c r="G16"/>
      <c r="H16"/>
      <c r="I16"/>
      <c r="J16"/>
      <c r="K16"/>
      <c r="L16"/>
      <c r="M16" s="27"/>
      <c r="N16" s="27"/>
      <c r="O16" s="27"/>
      <c r="P16" s="24"/>
      <c r="Q16" s="9"/>
      <c r="S16"/>
      <c r="T16"/>
    </row>
    <row r="17" spans="3:20">
      <c r="C17" s="9"/>
      <c r="D17" s="9"/>
      <c r="G17"/>
      <c r="H17"/>
      <c r="I17"/>
      <c r="J17"/>
      <c r="K17"/>
      <c r="L17"/>
      <c r="M17" s="27"/>
      <c r="N17" s="27"/>
      <c r="O17" s="27"/>
      <c r="P17" s="24"/>
      <c r="Q17" s="9"/>
      <c r="S17"/>
      <c r="T17"/>
    </row>
    <row r="18" spans="3:20">
      <c r="C18" s="9"/>
      <c r="D18" s="9"/>
      <c r="G18"/>
      <c r="H18"/>
      <c r="I18"/>
      <c r="J18"/>
      <c r="K18"/>
      <c r="L18"/>
      <c r="M18" s="27"/>
      <c r="N18" s="27"/>
      <c r="O18" s="27"/>
      <c r="P18" s="24"/>
      <c r="Q18" s="9"/>
      <c r="S18"/>
      <c r="T18"/>
    </row>
    <row r="19" spans="3:20">
      <c r="C19" s="9"/>
      <c r="D19" s="9"/>
      <c r="G19"/>
      <c r="H19"/>
      <c r="I19"/>
      <c r="J19"/>
      <c r="K19"/>
      <c r="L19"/>
      <c r="M19" s="27"/>
      <c r="N19" s="27"/>
      <c r="O19" s="27"/>
      <c r="P19" s="24"/>
      <c r="Q19" s="9"/>
      <c r="S19"/>
      <c r="T19"/>
    </row>
    <row r="20" spans="3:20">
      <c r="C20" s="9"/>
      <c r="D20" s="9"/>
      <c r="G20"/>
      <c r="H20"/>
      <c r="I20"/>
      <c r="J20"/>
      <c r="K20"/>
      <c r="L20"/>
      <c r="M20" s="27"/>
      <c r="N20" s="27"/>
      <c r="O20" s="27"/>
      <c r="P20" s="24"/>
      <c r="Q20" s="9"/>
      <c r="S20"/>
      <c r="T20"/>
    </row>
    <row r="21" spans="3:20">
      <c r="C21" s="9"/>
      <c r="D21" s="9"/>
      <c r="G21"/>
      <c r="H21"/>
      <c r="I21"/>
      <c r="J21"/>
      <c r="K21"/>
      <c r="L21"/>
      <c r="M21" s="27"/>
      <c r="N21" s="27"/>
      <c r="O21" s="27"/>
      <c r="P21" s="24"/>
      <c r="Q21" s="9"/>
      <c r="S21"/>
      <c r="T21"/>
    </row>
    <row r="22" spans="3:20">
      <c r="C22" s="9"/>
      <c r="D22" s="9"/>
      <c r="G22"/>
      <c r="H22"/>
      <c r="I22"/>
      <c r="J22"/>
      <c r="K22"/>
      <c r="L22"/>
      <c r="M22" s="27"/>
      <c r="N22" s="27"/>
      <c r="O22" s="27"/>
      <c r="P22" s="24"/>
      <c r="Q22" s="9"/>
      <c r="S22"/>
      <c r="T22"/>
    </row>
    <row r="23" spans="3:20">
      <c r="C23" s="9"/>
      <c r="D23" s="9"/>
      <c r="G23"/>
      <c r="H23"/>
      <c r="I23"/>
      <c r="J23"/>
      <c r="K23"/>
      <c r="L23"/>
      <c r="M23" s="27"/>
      <c r="N23" s="27"/>
      <c r="O23" s="27"/>
      <c r="P23" s="24"/>
      <c r="Q23" s="9"/>
      <c r="S23"/>
      <c r="T23"/>
    </row>
    <row r="24" spans="3:20">
      <c r="C24" s="9"/>
      <c r="D24" s="9"/>
      <c r="G24"/>
      <c r="H24"/>
      <c r="I24"/>
      <c r="J24"/>
      <c r="K24"/>
      <c r="L24"/>
      <c r="M24" s="27"/>
      <c r="N24" s="27"/>
      <c r="O24" s="27"/>
      <c r="P24" s="24"/>
      <c r="Q24" s="9"/>
      <c r="S24"/>
      <c r="T24"/>
    </row>
    <row r="25" spans="3:20">
      <c r="C25" s="9"/>
      <c r="D25" s="9"/>
      <c r="G25"/>
      <c r="H25"/>
      <c r="I25"/>
      <c r="J25"/>
      <c r="K25"/>
      <c r="L25"/>
      <c r="M25" s="27"/>
      <c r="N25" s="27"/>
      <c r="O25" s="27"/>
      <c r="S25"/>
      <c r="T25"/>
    </row>
    <row r="26" spans="3:20">
      <c r="C26" s="9"/>
      <c r="D26" s="9"/>
      <c r="G26"/>
      <c r="H26"/>
      <c r="I26"/>
      <c r="J26"/>
      <c r="K26"/>
      <c r="L26"/>
      <c r="M26" s="27"/>
      <c r="N26" s="27"/>
      <c r="O26" s="27"/>
      <c r="P26" s="24"/>
      <c r="Q26" s="9"/>
      <c r="S26"/>
      <c r="T26"/>
    </row>
    <row r="27" spans="3:20">
      <c r="C27" s="9"/>
      <c r="D27" s="9"/>
      <c r="G27"/>
      <c r="H27"/>
      <c r="I27"/>
      <c r="J27"/>
      <c r="K27"/>
      <c r="L27"/>
      <c r="M27" s="27"/>
      <c r="N27" s="27"/>
      <c r="O27" s="27"/>
      <c r="P27" s="24"/>
      <c r="Q27" s="9"/>
      <c r="S27"/>
      <c r="T27"/>
    </row>
    <row r="28" spans="3:20">
      <c r="C28" s="9"/>
      <c r="D28" s="9"/>
      <c r="G28"/>
      <c r="H28"/>
      <c r="I28"/>
      <c r="J28"/>
      <c r="K28"/>
      <c r="L28"/>
      <c r="M28" s="27"/>
      <c r="N28" s="27"/>
      <c r="O28" s="27"/>
      <c r="S28"/>
      <c r="T28"/>
    </row>
    <row r="29" spans="3:20">
      <c r="C29" s="9"/>
      <c r="D29" s="9"/>
      <c r="G29"/>
      <c r="H29"/>
      <c r="I29"/>
      <c r="J29"/>
      <c r="K29"/>
      <c r="L29"/>
      <c r="M29" s="27"/>
      <c r="N29" s="27"/>
      <c r="O29" s="27"/>
      <c r="P29" s="24"/>
      <c r="Q29" s="9"/>
      <c r="S29"/>
      <c r="T29"/>
    </row>
    <row r="30" spans="3:20">
      <c r="C30" s="9"/>
      <c r="D30" s="9"/>
      <c r="G30"/>
      <c r="H30"/>
      <c r="I30"/>
      <c r="J30"/>
      <c r="K30"/>
      <c r="L30"/>
      <c r="M30" s="27"/>
      <c r="N30" s="27"/>
      <c r="O30" s="27"/>
      <c r="P30" s="24"/>
      <c r="Q30" s="9"/>
      <c r="S30"/>
      <c r="T30"/>
    </row>
    <row r="31" spans="3:20">
      <c r="C31" s="9"/>
      <c r="D31" s="9"/>
      <c r="G31"/>
      <c r="H31"/>
      <c r="I31"/>
      <c r="J31"/>
      <c r="K31"/>
      <c r="L31"/>
      <c r="M31" s="27"/>
      <c r="N31" s="27"/>
      <c r="O31" s="27"/>
      <c r="P31" s="24"/>
      <c r="Q31" s="9"/>
      <c r="S31"/>
      <c r="T31"/>
    </row>
    <row r="32" spans="3:20">
      <c r="C32" s="9"/>
      <c r="D32" s="9"/>
      <c r="G32"/>
      <c r="H32"/>
      <c r="I32"/>
      <c r="J32"/>
      <c r="K32"/>
      <c r="L32"/>
      <c r="M32" s="27"/>
      <c r="N32" s="27"/>
      <c r="O32" s="27"/>
      <c r="S32"/>
      <c r="T32"/>
    </row>
    <row r="33" spans="3:20">
      <c r="C33" s="9"/>
      <c r="D33" s="9"/>
      <c r="G33"/>
      <c r="H33"/>
      <c r="I33"/>
      <c r="J33"/>
      <c r="K33"/>
      <c r="L33"/>
      <c r="M33" s="27"/>
      <c r="N33" s="27"/>
      <c r="O33" s="27"/>
      <c r="S33"/>
      <c r="T33"/>
    </row>
    <row r="34" spans="3:20">
      <c r="C34" s="9"/>
      <c r="D34" s="9"/>
      <c r="G34"/>
      <c r="H34"/>
      <c r="I34"/>
      <c r="J34"/>
      <c r="K34"/>
      <c r="L34"/>
      <c r="M34" s="27"/>
      <c r="N34" s="27"/>
      <c r="O34" s="27"/>
      <c r="S34"/>
      <c r="T34"/>
    </row>
    <row r="35" spans="3:20">
      <c r="C35" s="9"/>
      <c r="D35" s="9"/>
      <c r="G35"/>
      <c r="H35"/>
      <c r="I35"/>
      <c r="J35"/>
      <c r="K35"/>
      <c r="L35"/>
      <c r="M35" s="27"/>
      <c r="N35" s="27"/>
      <c r="O35" s="27"/>
      <c r="S35"/>
      <c r="T35"/>
    </row>
    <row r="36" spans="3:20">
      <c r="C36" s="9"/>
      <c r="D36" s="9"/>
      <c r="G36"/>
      <c r="H36"/>
      <c r="I36"/>
      <c r="J36"/>
      <c r="K36"/>
      <c r="L36"/>
      <c r="M36" s="27"/>
      <c r="N36" s="27"/>
      <c r="O36" s="27"/>
      <c r="P36" s="9"/>
      <c r="Q36" s="9"/>
      <c r="S36"/>
      <c r="T36"/>
    </row>
    <row r="37" spans="3:20">
      <c r="C37" s="9"/>
      <c r="D37" s="9"/>
      <c r="G37"/>
      <c r="H37"/>
      <c r="I37"/>
      <c r="J37"/>
      <c r="K37"/>
      <c r="L37"/>
      <c r="M37" s="27"/>
      <c r="N37" s="27"/>
      <c r="O37" s="27"/>
      <c r="Q37" s="9"/>
      <c r="S37"/>
      <c r="T37"/>
    </row>
    <row r="38" spans="3:20">
      <c r="C38" s="9"/>
      <c r="D38" s="9"/>
      <c r="G38"/>
      <c r="H38"/>
      <c r="I38"/>
      <c r="J38"/>
      <c r="K38"/>
      <c r="L38"/>
      <c r="M38" s="27"/>
      <c r="N38" s="27"/>
      <c r="O38" s="27"/>
      <c r="Q38" s="9"/>
      <c r="S38"/>
      <c r="T38"/>
    </row>
    <row r="39" spans="3:20">
      <c r="C39" s="9"/>
      <c r="D39" s="9"/>
      <c r="G39"/>
      <c r="H39"/>
      <c r="I39"/>
      <c r="J39"/>
      <c r="K39"/>
      <c r="L39"/>
      <c r="M39" s="27"/>
      <c r="N39" s="27"/>
      <c r="O39" s="27"/>
      <c r="Q39" s="9"/>
      <c r="S39"/>
      <c r="T39"/>
    </row>
    <row r="40" spans="3:20">
      <c r="C40" s="9"/>
      <c r="D40" s="9"/>
      <c r="G40"/>
      <c r="H40"/>
      <c r="I40"/>
      <c r="J40"/>
      <c r="K40"/>
      <c r="L40"/>
      <c r="M40" s="27"/>
      <c r="N40" s="27"/>
      <c r="O40" s="27"/>
      <c r="Q40" s="9"/>
      <c r="S40"/>
      <c r="T40"/>
    </row>
    <row r="41" spans="3:20">
      <c r="G41"/>
      <c r="H41"/>
      <c r="I41"/>
      <c r="J41"/>
      <c r="K41"/>
      <c r="L41"/>
      <c r="M41" s="27"/>
      <c r="N41" s="27"/>
      <c r="O41" s="27"/>
      <c r="S41"/>
      <c r="T41"/>
    </row>
    <row r="42" spans="3:20">
      <c r="G42"/>
      <c r="H42"/>
      <c r="I42"/>
      <c r="J42"/>
      <c r="K42"/>
      <c r="L42"/>
      <c r="M42" s="27"/>
      <c r="N42" s="27"/>
      <c r="O42" s="27"/>
      <c r="S42"/>
      <c r="T42"/>
    </row>
    <row r="43" spans="3:20">
      <c r="G43"/>
      <c r="H43"/>
      <c r="I43"/>
      <c r="J43"/>
      <c r="K43"/>
      <c r="L43"/>
      <c r="M43" s="27"/>
      <c r="N43" s="27"/>
      <c r="O43" s="27"/>
      <c r="S43"/>
      <c r="T43"/>
    </row>
    <row r="44" spans="3:20">
      <c r="G44"/>
      <c r="H44"/>
      <c r="I44"/>
      <c r="J44"/>
      <c r="K44"/>
      <c r="L44"/>
      <c r="M44" s="27"/>
      <c r="N44" s="27"/>
      <c r="O44" s="27"/>
      <c r="S44"/>
      <c r="T44"/>
    </row>
    <row r="45" spans="3:20">
      <c r="G45"/>
      <c r="H45"/>
      <c r="I45"/>
      <c r="J45"/>
      <c r="K45"/>
      <c r="L45"/>
      <c r="M45" s="27"/>
      <c r="N45" s="27"/>
      <c r="O45" s="27"/>
      <c r="S45"/>
      <c r="T45"/>
    </row>
    <row r="46" spans="3:20">
      <c r="G46"/>
      <c r="H46"/>
      <c r="I46"/>
      <c r="J46"/>
      <c r="K46"/>
      <c r="L46"/>
      <c r="M46" s="27"/>
      <c r="N46" s="27"/>
      <c r="O46" s="27"/>
      <c r="S46"/>
      <c r="T46"/>
    </row>
    <row r="47" spans="3:20">
      <c r="G47"/>
      <c r="H47"/>
      <c r="I47"/>
      <c r="J47"/>
      <c r="K47"/>
      <c r="L47"/>
      <c r="M47" s="27"/>
      <c r="N47" s="27"/>
      <c r="O47" s="27"/>
      <c r="S47"/>
      <c r="T47"/>
    </row>
    <row r="48" spans="3:20">
      <c r="E48" s="25"/>
      <c r="F48" s="25"/>
      <c r="G48"/>
      <c r="H48"/>
      <c r="I48"/>
      <c r="J48"/>
      <c r="K48"/>
      <c r="L48"/>
      <c r="M48" s="27"/>
      <c r="N48" s="27"/>
      <c r="O48" s="27"/>
      <c r="S48"/>
      <c r="T48"/>
    </row>
    <row r="49" spans="7:20">
      <c r="G49"/>
      <c r="H49"/>
      <c r="I49"/>
      <c r="J49"/>
      <c r="K49"/>
      <c r="L49"/>
      <c r="M49" s="27"/>
      <c r="N49" s="27"/>
      <c r="O49" s="27"/>
      <c r="S49"/>
      <c r="T49"/>
    </row>
    <row r="50" spans="7:20">
      <c r="G50"/>
      <c r="H50"/>
      <c r="I50"/>
      <c r="J50"/>
      <c r="K50"/>
      <c r="L50"/>
      <c r="M50" s="27"/>
      <c r="N50" s="27"/>
      <c r="O50" s="27"/>
      <c r="S50"/>
      <c r="T50"/>
    </row>
    <row r="51" spans="7:20">
      <c r="G51"/>
      <c r="H51"/>
      <c r="I51"/>
      <c r="J51"/>
      <c r="K51"/>
      <c r="L51"/>
      <c r="M51"/>
      <c r="N51"/>
      <c r="O51"/>
      <c r="S51"/>
      <c r="T51"/>
    </row>
    <row r="52" spans="7:20">
      <c r="G52"/>
      <c r="H52"/>
      <c r="I52"/>
      <c r="J52"/>
      <c r="K52"/>
      <c r="L52"/>
      <c r="M52"/>
      <c r="N52"/>
      <c r="O52"/>
      <c r="S52"/>
      <c r="T52"/>
    </row>
  </sheetData>
  <phoneticPr fontId="4" type="noConversion"/>
  <conditionalFormatting sqref="G11:L14 G51:O52 G16:L50">
    <cfRule type="cellIs" dxfId="72" priority="38" operator="equal">
      <formula>0</formula>
    </cfRule>
  </conditionalFormatting>
  <conditionalFormatting sqref="M11:O14 M16:O50">
    <cfRule type="cellIs" dxfId="71" priority="37" operator="equal">
      <formula>0</formula>
    </cfRule>
  </conditionalFormatting>
  <conditionalFormatting sqref="G15:L15">
    <cfRule type="cellIs" dxfId="70" priority="27" operator="equal">
      <formula>0</formula>
    </cfRule>
  </conditionalFormatting>
  <conditionalFormatting sqref="M15:O15">
    <cfRule type="cellIs" dxfId="69" priority="26" operator="equal">
      <formula>0</formula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6</xdr:col>
                <xdr:colOff>698500</xdr:colOff>
                <xdr:row>2</xdr:row>
                <xdr:rowOff>19050</xdr:rowOff>
              </from>
              <to>
                <xdr:col>9</xdr:col>
                <xdr:colOff>146050</xdr:colOff>
                <xdr:row>5</xdr:row>
                <xdr:rowOff>114300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8"/>
  <dimension ref="B2:W78"/>
  <sheetViews>
    <sheetView zoomScale="80" workbookViewId="0">
      <selection activeCell="D7" sqref="D7"/>
    </sheetView>
  </sheetViews>
  <sheetFormatPr defaultColWidth="9.140625" defaultRowHeight="12.6"/>
  <cols>
    <col min="1" max="1" width="3.7109375" style="1" customWidth="1"/>
    <col min="2" max="2" width="9.140625" style="1"/>
    <col min="3" max="4" width="10.7109375" style="1" customWidth="1"/>
    <col min="5" max="6" width="10.7109375" style="3" customWidth="1"/>
    <col min="7" max="15" width="10.7109375" style="1" customWidth="1"/>
    <col min="16" max="16384" width="9.140625" style="1"/>
  </cols>
  <sheetData>
    <row r="2" spans="2:17" ht="23.1">
      <c r="B2" s="5" t="s">
        <v>69</v>
      </c>
    </row>
    <row r="4" spans="2:17" ht="12.95">
      <c r="C4" s="2" t="s">
        <v>11</v>
      </c>
      <c r="D4" s="10" t="s">
        <v>70</v>
      </c>
      <c r="E4" s="11"/>
      <c r="F4" s="11"/>
    </row>
    <row r="5" spans="2:17">
      <c r="E5" s="1"/>
      <c r="F5" s="1"/>
    </row>
    <row r="7" spans="2:17">
      <c r="C7" s="1" t="s">
        <v>37</v>
      </c>
      <c r="D7" s="1">
        <f>COUNTA(C11:C34)*0</f>
        <v>0</v>
      </c>
    </row>
    <row r="8" spans="2:17">
      <c r="F8" s="25" t="s">
        <v>71</v>
      </c>
    </row>
    <row r="10" spans="2:17" ht="13.5" thickBot="1">
      <c r="B10" s="2"/>
      <c r="C10" s="17" t="s">
        <v>72</v>
      </c>
      <c r="D10" s="17" t="s">
        <v>73</v>
      </c>
      <c r="E10" s="17" t="s">
        <v>40</v>
      </c>
      <c r="F10" s="17" t="s">
        <v>41</v>
      </c>
      <c r="G10" s="17" t="s">
        <v>42</v>
      </c>
      <c r="H10" s="17" t="s">
        <v>43</v>
      </c>
      <c r="I10" s="17" t="s">
        <v>54</v>
      </c>
      <c r="J10" s="17" t="s">
        <v>55</v>
      </c>
      <c r="K10" s="17" t="s">
        <v>56</v>
      </c>
      <c r="L10" s="17" t="s">
        <v>57</v>
      </c>
      <c r="M10" s="17" t="s">
        <v>58</v>
      </c>
      <c r="N10" s="17" t="s">
        <v>59</v>
      </c>
      <c r="O10" s="17" t="s">
        <v>60</v>
      </c>
      <c r="P10" s="17" t="s">
        <v>44</v>
      </c>
      <c r="Q10" s="17" t="s">
        <v>45</v>
      </c>
    </row>
    <row r="11" spans="2:17" ht="12.95" thickTop="1">
      <c r="B11" s="9"/>
      <c r="C11" s="24" t="s">
        <v>29</v>
      </c>
      <c r="D11" s="24" t="s">
        <v>27</v>
      </c>
      <c r="E11" s="31">
        <v>6</v>
      </c>
      <c r="F11" s="31">
        <v>5</v>
      </c>
      <c r="G11" s="32">
        <v>-0.36502251499999999</v>
      </c>
      <c r="H11" s="32">
        <v>9.9604221499999994E-4</v>
      </c>
      <c r="I11" s="32">
        <v>0</v>
      </c>
      <c r="J11" s="32">
        <v>0</v>
      </c>
      <c r="K11" s="32">
        <v>11.136151699999999</v>
      </c>
      <c r="L11" s="32">
        <v>0</v>
      </c>
      <c r="M11" s="32">
        <v>-0.57063765700000002</v>
      </c>
      <c r="N11" s="32">
        <v>-27.513280399999999</v>
      </c>
      <c r="O11" s="32">
        <v>4</v>
      </c>
      <c r="P11" s="24"/>
      <c r="Q11" s="24"/>
    </row>
    <row r="12" spans="2:17">
      <c r="B12" s="9"/>
      <c r="C12" s="24"/>
      <c r="D12" s="24"/>
      <c r="E12" s="31"/>
      <c r="F12" s="31"/>
      <c r="G12" s="32"/>
      <c r="H12" s="32"/>
      <c r="I12" s="32"/>
      <c r="J12" s="32"/>
      <c r="K12" s="32"/>
      <c r="L12" s="32"/>
      <c r="M12" s="32"/>
      <c r="N12" s="32"/>
      <c r="O12" s="32"/>
      <c r="P12" s="24"/>
      <c r="Q12" s="24"/>
    </row>
    <row r="13" spans="2:17">
      <c r="B13" s="9"/>
      <c r="C13" s="24"/>
      <c r="D13" s="24"/>
      <c r="E13" s="31"/>
      <c r="F13" s="31"/>
      <c r="G13" s="32"/>
      <c r="H13" s="32"/>
      <c r="I13" s="32"/>
      <c r="J13" s="32"/>
      <c r="K13" s="32"/>
      <c r="L13" s="32"/>
      <c r="M13" s="32"/>
      <c r="N13" s="32"/>
      <c r="O13" s="32"/>
      <c r="P13" s="9"/>
      <c r="Q13" s="9"/>
    </row>
    <row r="14" spans="2:17">
      <c r="B14" s="9"/>
      <c r="C14" s="24"/>
      <c r="D14" s="24"/>
      <c r="E14" s="31"/>
      <c r="F14" s="31"/>
      <c r="G14" s="32"/>
      <c r="H14" s="32"/>
      <c r="I14" s="32"/>
      <c r="J14" s="32"/>
      <c r="K14" s="32"/>
      <c r="L14" s="32"/>
      <c r="M14" s="32"/>
      <c r="N14" s="32"/>
      <c r="O14" s="32"/>
      <c r="P14" s="24"/>
      <c r="Q14" s="9"/>
    </row>
    <row r="15" spans="2:17">
      <c r="B15" s="9"/>
      <c r="C15" s="24"/>
      <c r="D15" s="24"/>
      <c r="E15" s="31"/>
      <c r="F15" s="31"/>
      <c r="G15" s="32"/>
      <c r="H15" s="32"/>
      <c r="I15" s="32"/>
      <c r="J15" s="32"/>
      <c r="K15" s="32"/>
      <c r="L15" s="32"/>
      <c r="M15" s="32"/>
      <c r="N15" s="32"/>
      <c r="O15" s="32"/>
      <c r="Q15" s="9"/>
    </row>
    <row r="16" spans="2:17">
      <c r="B16" s="9"/>
      <c r="C16" s="24"/>
      <c r="D16" s="24"/>
      <c r="E16" s="31"/>
      <c r="F16" s="31"/>
      <c r="G16" s="32"/>
      <c r="H16" s="32"/>
      <c r="I16" s="32"/>
      <c r="J16" s="32"/>
      <c r="K16" s="32"/>
      <c r="L16" s="32"/>
      <c r="M16" s="32"/>
      <c r="N16" s="32"/>
      <c r="O16" s="32"/>
      <c r="Q16" s="9"/>
    </row>
    <row r="17" spans="2:17">
      <c r="B17" s="9"/>
      <c r="C17" s="24"/>
      <c r="D17" s="24"/>
      <c r="E17" s="31"/>
      <c r="F17" s="31"/>
      <c r="G17" s="32"/>
      <c r="H17" s="32"/>
      <c r="I17" s="32"/>
      <c r="J17" s="32"/>
      <c r="K17" s="32"/>
      <c r="L17" s="32"/>
      <c r="M17" s="32"/>
      <c r="N17" s="32"/>
      <c r="O17" s="32"/>
      <c r="Q17" s="9"/>
    </row>
    <row r="18" spans="2:17">
      <c r="B18" s="9"/>
      <c r="C18" s="24"/>
      <c r="D18" s="24"/>
      <c r="E18" s="31"/>
      <c r="F18" s="31"/>
      <c r="G18" s="32"/>
      <c r="H18" s="32"/>
      <c r="I18" s="32"/>
      <c r="J18" s="32"/>
      <c r="K18" s="32"/>
      <c r="L18" s="32"/>
      <c r="M18" s="32"/>
      <c r="N18" s="32"/>
      <c r="O18" s="32"/>
      <c r="Q18" s="9"/>
    </row>
    <row r="19" spans="2:17">
      <c r="B19" s="9"/>
      <c r="C19" s="9"/>
      <c r="D19" s="9"/>
      <c r="G19"/>
      <c r="H19"/>
      <c r="I19"/>
      <c r="J19"/>
      <c r="K19"/>
      <c r="L19"/>
      <c r="M19"/>
      <c r="N19"/>
      <c r="O19"/>
      <c r="P19" s="24"/>
      <c r="Q19" s="9"/>
    </row>
    <row r="20" spans="2:17">
      <c r="B20" s="9"/>
      <c r="C20" s="9"/>
      <c r="D20" s="9"/>
      <c r="G20" s="32"/>
      <c r="H20" s="32"/>
      <c r="I20" s="32"/>
      <c r="J20" s="32"/>
      <c r="K20" s="32"/>
      <c r="L20" s="32"/>
      <c r="M20"/>
      <c r="N20"/>
      <c r="O20"/>
    </row>
    <row r="21" spans="2:17">
      <c r="B21" s="9"/>
      <c r="C21" s="9"/>
      <c r="D21" s="9"/>
      <c r="G21"/>
      <c r="H21"/>
      <c r="I21"/>
      <c r="J21"/>
      <c r="K21"/>
      <c r="L21"/>
      <c r="M21"/>
      <c r="N21"/>
      <c r="O21"/>
    </row>
    <row r="22" spans="2:17">
      <c r="B22" s="9"/>
      <c r="C22" s="9"/>
      <c r="D22" s="9"/>
      <c r="G22"/>
      <c r="H22"/>
      <c r="I22"/>
      <c r="J22"/>
      <c r="K22"/>
      <c r="L22"/>
      <c r="M22"/>
      <c r="N22"/>
      <c r="O22"/>
    </row>
    <row r="23" spans="2:17">
      <c r="B23" s="9"/>
      <c r="C23" s="9"/>
      <c r="D23" s="9"/>
      <c r="G23"/>
      <c r="H23" s="8"/>
      <c r="I23"/>
      <c r="J23"/>
      <c r="K23"/>
      <c r="L23"/>
      <c r="M23"/>
      <c r="N23"/>
      <c r="O23"/>
    </row>
    <row r="24" spans="2:17">
      <c r="B24" s="9"/>
      <c r="C24" s="9"/>
      <c r="D24" s="9"/>
      <c r="G24"/>
      <c r="H24"/>
      <c r="I24"/>
      <c r="J24"/>
      <c r="K24"/>
      <c r="L24"/>
      <c r="M24"/>
      <c r="N24"/>
      <c r="O24"/>
    </row>
    <row r="25" spans="2:17">
      <c r="B25" s="9"/>
      <c r="C25" s="9"/>
      <c r="D25" s="9"/>
      <c r="G25"/>
      <c r="H25"/>
      <c r="I25"/>
      <c r="J25"/>
      <c r="K25"/>
      <c r="L25"/>
      <c r="M25"/>
      <c r="N25"/>
      <c r="O25"/>
    </row>
    <row r="26" spans="2:17">
      <c r="B26" s="9"/>
      <c r="C26" s="9"/>
      <c r="D26" s="9"/>
      <c r="G26" s="8"/>
      <c r="H26"/>
      <c r="I26"/>
      <c r="J26"/>
      <c r="K26"/>
      <c r="L26"/>
      <c r="M26"/>
      <c r="N26"/>
      <c r="O26"/>
      <c r="Q26" s="9"/>
    </row>
    <row r="27" spans="2:17">
      <c r="B27" s="9"/>
      <c r="C27" s="9"/>
      <c r="D27" s="9"/>
      <c r="G27"/>
      <c r="H27"/>
      <c r="I27"/>
      <c r="J27"/>
      <c r="K27"/>
      <c r="L27"/>
      <c r="M27" s="27"/>
      <c r="N27" s="27"/>
      <c r="O27" s="27"/>
      <c r="Q27" s="9"/>
    </row>
    <row r="28" spans="2:17">
      <c r="B28" s="9"/>
      <c r="C28" s="9"/>
      <c r="D28" s="9"/>
      <c r="G28"/>
      <c r="H28"/>
      <c r="I28"/>
      <c r="J28"/>
      <c r="K28"/>
      <c r="L28"/>
      <c r="M28" s="27"/>
      <c r="N28" s="27"/>
      <c r="O28" s="27"/>
      <c r="P28" s="24"/>
      <c r="Q28" s="9"/>
    </row>
    <row r="29" spans="2:17">
      <c r="B29" s="9"/>
      <c r="C29" s="9"/>
      <c r="D29" s="9"/>
      <c r="E29" s="25"/>
      <c r="F29" s="25"/>
      <c r="G29"/>
      <c r="H29"/>
      <c r="I29"/>
      <c r="J29"/>
      <c r="K29"/>
      <c r="L29"/>
      <c r="M29"/>
      <c r="N29"/>
      <c r="O29"/>
      <c r="Q29" s="9"/>
    </row>
    <row r="30" spans="2:17">
      <c r="B30" s="9"/>
      <c r="C30" s="9"/>
      <c r="D30" s="9"/>
      <c r="G30"/>
      <c r="H30"/>
      <c r="I30"/>
      <c r="J30"/>
      <c r="K30"/>
      <c r="L30"/>
      <c r="M30"/>
      <c r="N30"/>
      <c r="O30"/>
      <c r="Q30" s="9"/>
    </row>
    <row r="31" spans="2:17">
      <c r="B31" s="9"/>
      <c r="C31" s="9"/>
      <c r="D31" s="9"/>
      <c r="G31"/>
      <c r="H31"/>
      <c r="I31"/>
      <c r="J31"/>
      <c r="K31"/>
      <c r="L31"/>
      <c r="M31"/>
      <c r="N31"/>
      <c r="O31"/>
      <c r="P31" s="24"/>
      <c r="Q31" s="9"/>
    </row>
    <row r="32" spans="2:17">
      <c r="B32" s="9"/>
      <c r="C32" s="9"/>
      <c r="D32" s="9"/>
      <c r="G32"/>
      <c r="H32"/>
      <c r="I32"/>
      <c r="J32"/>
      <c r="K32"/>
      <c r="L32"/>
      <c r="M32"/>
      <c r="N32"/>
      <c r="O32"/>
      <c r="Q32" s="9"/>
    </row>
    <row r="33" spans="3:17">
      <c r="C33" s="9"/>
      <c r="D33" s="9"/>
      <c r="G33"/>
      <c r="H33"/>
      <c r="I33"/>
      <c r="J33"/>
      <c r="K33"/>
      <c r="L33"/>
      <c r="M33" s="27"/>
      <c r="N33" s="27"/>
      <c r="O33" s="27"/>
      <c r="P33" s="24"/>
      <c r="Q33" s="9"/>
    </row>
    <row r="34" spans="3:17">
      <c r="C34" s="9"/>
      <c r="D34" s="9"/>
      <c r="G34" s="8"/>
      <c r="H34"/>
      <c r="I34"/>
      <c r="J34"/>
      <c r="K34"/>
      <c r="L34"/>
      <c r="M34" s="27"/>
      <c r="N34" s="27"/>
      <c r="O34" s="27"/>
      <c r="Q34" s="9"/>
    </row>
    <row r="35" spans="3:17">
      <c r="C35" s="9"/>
      <c r="D35" s="9"/>
      <c r="G35"/>
      <c r="H35"/>
      <c r="I35"/>
      <c r="J35"/>
      <c r="K35"/>
      <c r="L35"/>
      <c r="M35" s="27"/>
      <c r="N35" s="27"/>
      <c r="O35" s="27"/>
      <c r="Q35" s="9"/>
    </row>
    <row r="36" spans="3:17">
      <c r="C36" s="9"/>
      <c r="D36" s="9"/>
      <c r="G36"/>
      <c r="H36"/>
      <c r="I36"/>
      <c r="J36"/>
      <c r="K36"/>
      <c r="L36"/>
      <c r="M36" s="27"/>
      <c r="N36" s="27"/>
      <c r="O36" s="27"/>
      <c r="Q36" s="9"/>
    </row>
    <row r="37" spans="3:17">
      <c r="C37" s="9"/>
      <c r="D37" s="9"/>
      <c r="G37" s="26"/>
      <c r="H37"/>
      <c r="I37"/>
      <c r="J37"/>
      <c r="K37"/>
      <c r="L37"/>
      <c r="M37" s="27"/>
      <c r="N37" s="27"/>
      <c r="O37" s="27"/>
      <c r="Q37" s="9"/>
    </row>
    <row r="38" spans="3:17">
      <c r="C38" s="9"/>
      <c r="D38" s="9"/>
      <c r="G38"/>
      <c r="H38"/>
      <c r="I38"/>
      <c r="J38"/>
      <c r="K38"/>
      <c r="L38"/>
      <c r="M38" s="27"/>
      <c r="N38" s="27"/>
      <c r="O38" s="27"/>
      <c r="Q38" s="9"/>
    </row>
    <row r="39" spans="3:17">
      <c r="C39" s="9"/>
      <c r="D39" s="9"/>
      <c r="G39"/>
      <c r="H39"/>
      <c r="I39"/>
      <c r="J39"/>
      <c r="K39"/>
      <c r="L39"/>
      <c r="M39" s="27"/>
      <c r="N39" s="27"/>
      <c r="O39" s="27"/>
      <c r="P39" s="24"/>
      <c r="Q39" s="9"/>
    </row>
    <row r="42" spans="3:17">
      <c r="E42" s="1"/>
      <c r="F42" s="1"/>
      <c r="G42"/>
      <c r="H42"/>
      <c r="I42"/>
      <c r="J42"/>
      <c r="K42"/>
      <c r="L42"/>
      <c r="M42"/>
      <c r="N42"/>
      <c r="O42"/>
    </row>
    <row r="43" spans="3:17">
      <c r="E43" s="1"/>
      <c r="F43" s="1"/>
      <c r="G43"/>
      <c r="H43"/>
      <c r="I43"/>
      <c r="J43"/>
      <c r="K43"/>
      <c r="L43"/>
      <c r="M43"/>
      <c r="N43"/>
      <c r="O43"/>
    </row>
    <row r="44" spans="3:17">
      <c r="E44" s="1"/>
      <c r="F44" s="1"/>
      <c r="G44"/>
      <c r="H44" s="8"/>
      <c r="I44"/>
      <c r="J44"/>
      <c r="K44"/>
      <c r="L44"/>
      <c r="M44"/>
      <c r="N44"/>
      <c r="O44"/>
    </row>
    <row r="45" spans="3:17">
      <c r="E45" s="1"/>
      <c r="F45" s="1"/>
      <c r="G45"/>
      <c r="H45"/>
      <c r="I45"/>
      <c r="J45"/>
      <c r="K45"/>
      <c r="L45"/>
      <c r="M45"/>
      <c r="N45"/>
      <c r="O45"/>
    </row>
    <row r="46" spans="3:17">
      <c r="E46" s="1"/>
      <c r="F46" s="1"/>
      <c r="G46"/>
      <c r="H46"/>
      <c r="I46"/>
      <c r="J46"/>
      <c r="K46"/>
      <c r="L46"/>
      <c r="M46"/>
      <c r="N46"/>
      <c r="O46"/>
    </row>
    <row r="47" spans="3:17">
      <c r="C47" s="9"/>
      <c r="D47" s="9"/>
      <c r="G47"/>
      <c r="H47" s="8"/>
      <c r="I47"/>
      <c r="J47"/>
      <c r="K47"/>
      <c r="L47"/>
      <c r="M47"/>
      <c r="N47"/>
      <c r="O47"/>
    </row>
    <row r="48" spans="3:17">
      <c r="E48" s="1"/>
      <c r="F48" s="1"/>
      <c r="G48"/>
      <c r="H48"/>
      <c r="I48"/>
      <c r="J48"/>
      <c r="K48"/>
      <c r="L48"/>
      <c r="M48"/>
      <c r="N48"/>
      <c r="O48"/>
    </row>
    <row r="49" spans="5:23" ht="12.95">
      <c r="E49" s="1"/>
      <c r="F49" s="1"/>
      <c r="G49"/>
      <c r="H49"/>
      <c r="I49"/>
      <c r="J49"/>
      <c r="K49"/>
      <c r="L49"/>
      <c r="M49"/>
      <c r="N49"/>
      <c r="O49"/>
      <c r="W49" s="7"/>
    </row>
    <row r="50" spans="5:23" ht="12.95">
      <c r="E50" s="1"/>
      <c r="F50" s="1"/>
      <c r="G50"/>
      <c r="H50"/>
      <c r="I50"/>
      <c r="J50"/>
      <c r="K50"/>
      <c r="L50"/>
      <c r="M50"/>
      <c r="N50"/>
      <c r="O50"/>
      <c r="W50" s="7"/>
    </row>
    <row r="51" spans="5:23" ht="12.95">
      <c r="E51" s="1"/>
      <c r="F51" s="1"/>
      <c r="G51"/>
      <c r="H51"/>
      <c r="I51"/>
      <c r="J51"/>
      <c r="K51"/>
      <c r="L51"/>
      <c r="M51"/>
      <c r="N51"/>
      <c r="O51"/>
      <c r="W51" s="7"/>
    </row>
    <row r="52" spans="5:23">
      <c r="E52" s="1"/>
      <c r="F52" s="1"/>
      <c r="G52"/>
      <c r="H52"/>
      <c r="I52"/>
      <c r="J52"/>
      <c r="K52"/>
      <c r="L52"/>
      <c r="M52"/>
      <c r="N52"/>
      <c r="O52"/>
    </row>
    <row r="53" spans="5:23">
      <c r="E53" s="1"/>
      <c r="F53" s="1"/>
    </row>
    <row r="54" spans="5:23">
      <c r="E54" s="1"/>
      <c r="F54" s="1"/>
    </row>
    <row r="55" spans="5:23">
      <c r="E55" s="1"/>
      <c r="F55" s="1"/>
    </row>
    <row r="56" spans="5:23">
      <c r="E56" s="1"/>
      <c r="F56" s="1"/>
    </row>
    <row r="57" spans="5:23">
      <c r="E57" s="1"/>
      <c r="F57" s="1"/>
    </row>
    <row r="58" spans="5:23">
      <c r="E58" s="1"/>
      <c r="F58" s="1"/>
    </row>
    <row r="59" spans="5:23">
      <c r="E59" s="1"/>
      <c r="F59" s="1"/>
    </row>
    <row r="66" s="1" customFormat="1"/>
    <row r="67" s="1" customFormat="1"/>
    <row r="68" s="1" customFormat="1"/>
    <row r="78" s="1" customFormat="1"/>
  </sheetData>
  <phoneticPr fontId="4" type="noConversion"/>
  <conditionalFormatting sqref="G31 G11:L14 G42:O43 G33:L38 G48:O52 I47:O47 G45:O46 G44 I44:O44">
    <cfRule type="cellIs" dxfId="68" priority="36" operator="equal">
      <formula>0</formula>
    </cfRule>
  </conditionalFormatting>
  <conditionalFormatting sqref="G15:L15 G17:L17 G21:O21 M20:O20 H22:O22 G24:O24 G29:O29 H26:O26 J25:O25 I23:O23 G30 H30:O32">
    <cfRule type="cellIs" dxfId="67" priority="34" operator="equal">
      <formula>0</formula>
    </cfRule>
  </conditionalFormatting>
  <conditionalFormatting sqref="G16:L16">
    <cfRule type="cellIs" dxfId="66" priority="33" operator="equal">
      <formula>0</formula>
    </cfRule>
  </conditionalFormatting>
  <conditionalFormatting sqref="G22">
    <cfRule type="cellIs" dxfId="65" priority="25" operator="equal">
      <formula>0</formula>
    </cfRule>
  </conditionalFormatting>
  <conditionalFormatting sqref="G19:O19">
    <cfRule type="cellIs" dxfId="64" priority="24" operator="equal">
      <formula>0</formula>
    </cfRule>
  </conditionalFormatting>
  <conditionalFormatting sqref="G39:L39">
    <cfRule type="cellIs" dxfId="63" priority="23" operator="equal">
      <formula>0</formula>
    </cfRule>
  </conditionalFormatting>
  <conditionalFormatting sqref="M11:O17">
    <cfRule type="cellIs" dxfId="62" priority="22" operator="equal">
      <formula>0</formula>
    </cfRule>
  </conditionalFormatting>
  <conditionalFormatting sqref="M33:O39">
    <cfRule type="cellIs" dxfId="61" priority="21" operator="equal">
      <formula>0</formula>
    </cfRule>
  </conditionalFormatting>
  <conditionalFormatting sqref="G20">
    <cfRule type="cellIs" dxfId="60" priority="18" operator="equal">
      <formula>0</formula>
    </cfRule>
  </conditionalFormatting>
  <conditionalFormatting sqref="H20:L20">
    <cfRule type="cellIs" dxfId="59" priority="19" operator="equal">
      <formula>0</formula>
    </cfRule>
  </conditionalFormatting>
  <conditionalFormatting sqref="G25:I25">
    <cfRule type="cellIs" dxfId="58" priority="16" operator="equal">
      <formula>0</formula>
    </cfRule>
  </conditionalFormatting>
  <conditionalFormatting sqref="H18:L18">
    <cfRule type="cellIs" dxfId="57" priority="13" operator="equal">
      <formula>0</formula>
    </cfRule>
  </conditionalFormatting>
  <conditionalFormatting sqref="G18">
    <cfRule type="cellIs" dxfId="56" priority="12" operator="equal">
      <formula>0</formula>
    </cfRule>
  </conditionalFormatting>
  <conditionalFormatting sqref="M18:O18">
    <cfRule type="cellIs" dxfId="55" priority="11" operator="equal">
      <formula>0</formula>
    </cfRule>
  </conditionalFormatting>
  <conditionalFormatting sqref="G26">
    <cfRule type="cellIs" dxfId="54" priority="10" operator="equal">
      <formula>0</formula>
    </cfRule>
  </conditionalFormatting>
  <conditionalFormatting sqref="G27:L27">
    <cfRule type="cellIs" dxfId="53" priority="9" operator="equal">
      <formula>0</formula>
    </cfRule>
  </conditionalFormatting>
  <conditionalFormatting sqref="M27:O27">
    <cfRule type="cellIs" dxfId="52" priority="8" operator="equal">
      <formula>0</formula>
    </cfRule>
  </conditionalFormatting>
  <conditionalFormatting sqref="G28:L28">
    <cfRule type="cellIs" dxfId="51" priority="7" operator="equal">
      <formula>0</formula>
    </cfRule>
  </conditionalFormatting>
  <conditionalFormatting sqref="M28:O28">
    <cfRule type="cellIs" dxfId="50" priority="6" operator="equal">
      <formula>0</formula>
    </cfRule>
  </conditionalFormatting>
  <conditionalFormatting sqref="G47:H47">
    <cfRule type="cellIs" dxfId="49" priority="5" operator="equal">
      <formula>0</formula>
    </cfRule>
  </conditionalFormatting>
  <conditionalFormatting sqref="G23:H23">
    <cfRule type="cellIs" dxfId="48" priority="4" operator="equal">
      <formula>0</formula>
    </cfRule>
  </conditionalFormatting>
  <conditionalFormatting sqref="H44">
    <cfRule type="cellIs" dxfId="47" priority="3" operator="equal">
      <formula>0</formula>
    </cfRule>
  </conditionalFormatting>
  <conditionalFormatting sqref="G32">
    <cfRule type="cellIs" dxfId="46" priority="2" operator="equal">
      <formula>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7</xdr:col>
                <xdr:colOff>285750</xdr:colOff>
                <xdr:row>1</xdr:row>
                <xdr:rowOff>260350</xdr:rowOff>
              </from>
              <to>
                <xdr:col>9</xdr:col>
                <xdr:colOff>488950</xdr:colOff>
                <xdr:row>5</xdr:row>
                <xdr:rowOff>50800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9"/>
  <dimension ref="B2:X116"/>
  <sheetViews>
    <sheetView zoomScale="80" workbookViewId="0">
      <selection activeCell="Y27" sqref="Y27"/>
    </sheetView>
  </sheetViews>
  <sheetFormatPr defaultColWidth="9.140625" defaultRowHeight="12.6"/>
  <cols>
    <col min="1" max="1" width="3.7109375" style="1" customWidth="1"/>
    <col min="2" max="2" width="9.140625" style="1"/>
    <col min="3" max="5" width="10.7109375" style="1" customWidth="1"/>
    <col min="6" max="8" width="10.7109375" style="3" customWidth="1"/>
    <col min="9" max="9" width="9.28515625" style="1" customWidth="1"/>
    <col min="10" max="10" width="13" style="1" bestFit="1" customWidth="1"/>
    <col min="11" max="11" width="12.140625" style="1" bestFit="1" customWidth="1"/>
    <col min="12" max="17" width="9.28515625" style="1" bestFit="1" customWidth="1"/>
    <col min="18" max="16384" width="9.140625" style="1"/>
  </cols>
  <sheetData>
    <row r="2" spans="2:22" ht="23.1">
      <c r="B2" s="5" t="s">
        <v>74</v>
      </c>
    </row>
    <row r="4" spans="2:22" ht="12.95">
      <c r="C4" s="2" t="s">
        <v>11</v>
      </c>
      <c r="D4" s="10" t="s">
        <v>75</v>
      </c>
      <c r="E4" s="11"/>
      <c r="F4" s="11"/>
    </row>
    <row r="5" spans="2:22">
      <c r="F5" s="1"/>
    </row>
    <row r="6" spans="2:22" ht="12.95">
      <c r="D6" s="7" t="s">
        <v>15</v>
      </c>
      <c r="E6" s="7" t="s">
        <v>76</v>
      </c>
    </row>
    <row r="7" spans="2:22">
      <c r="C7" s="1" t="s">
        <v>37</v>
      </c>
      <c r="D7" s="1">
        <f>COUNTA(C11:C25)</f>
        <v>0</v>
      </c>
      <c r="E7" s="1">
        <v>11</v>
      </c>
    </row>
    <row r="8" spans="2:22">
      <c r="C8" s="1" t="s">
        <v>37</v>
      </c>
      <c r="D8" s="1">
        <f>COUNTA(C33:C47)</f>
        <v>0</v>
      </c>
      <c r="E8" s="1">
        <v>33</v>
      </c>
    </row>
    <row r="10" spans="2:22" ht="13.5" thickBot="1">
      <c r="B10" s="2"/>
      <c r="C10" s="17" t="s">
        <v>38</v>
      </c>
      <c r="D10" s="17" t="s">
        <v>77</v>
      </c>
      <c r="E10" s="17" t="s">
        <v>39</v>
      </c>
      <c r="F10" s="17" t="s">
        <v>78</v>
      </c>
      <c r="G10" s="17" t="s">
        <v>79</v>
      </c>
      <c r="H10" s="17" t="s">
        <v>80</v>
      </c>
      <c r="I10" s="17" t="s">
        <v>42</v>
      </c>
      <c r="J10" s="17" t="s">
        <v>43</v>
      </c>
      <c r="K10" s="17" t="s">
        <v>54</v>
      </c>
      <c r="L10" s="17" t="s">
        <v>55</v>
      </c>
      <c r="M10" s="17" t="s">
        <v>56</v>
      </c>
      <c r="N10" s="17" t="s">
        <v>57</v>
      </c>
      <c r="O10" s="17" t="s">
        <v>58</v>
      </c>
      <c r="P10" s="17" t="s">
        <v>59</v>
      </c>
      <c r="Q10" s="17" t="s">
        <v>60</v>
      </c>
      <c r="R10" s="9" t="s">
        <v>81</v>
      </c>
      <c r="S10" s="9" t="s">
        <v>45</v>
      </c>
    </row>
    <row r="11" spans="2:22" ht="12.95" thickTop="1">
      <c r="C11" s="24"/>
      <c r="D11" s="24"/>
      <c r="E11" s="24"/>
      <c r="F11" s="31"/>
      <c r="G11" s="31"/>
      <c r="H11" s="31"/>
      <c r="I11" s="32"/>
      <c r="J11" s="32"/>
      <c r="K11" s="32"/>
      <c r="L11" s="32"/>
      <c r="M11" s="32"/>
      <c r="N11" s="32"/>
      <c r="O11" s="32"/>
      <c r="P11" s="32"/>
      <c r="Q11" s="32"/>
      <c r="R11" s="24"/>
      <c r="S11" s="24"/>
      <c r="V11" s="32"/>
    </row>
    <row r="12" spans="2:22">
      <c r="C12" s="24"/>
      <c r="D12" s="24"/>
      <c r="E12" s="24"/>
      <c r="F12" s="31"/>
      <c r="G12" s="31"/>
      <c r="H12" s="31"/>
      <c r="I12" s="32"/>
      <c r="J12" s="32"/>
      <c r="K12" s="32"/>
      <c r="L12" s="32"/>
      <c r="M12" s="32"/>
      <c r="N12" s="32"/>
      <c r="O12" s="32"/>
      <c r="P12" s="32"/>
      <c r="Q12" s="32"/>
      <c r="R12" s="9"/>
    </row>
    <row r="13" spans="2:22">
      <c r="C13" s="24"/>
      <c r="D13" s="24"/>
      <c r="E13" s="24"/>
      <c r="F13" s="31"/>
      <c r="G13" s="31"/>
      <c r="H13" s="31"/>
      <c r="I13" s="32"/>
      <c r="J13" s="32"/>
      <c r="K13" s="32"/>
      <c r="L13" s="32"/>
      <c r="M13" s="32"/>
      <c r="N13" s="32"/>
      <c r="O13" s="32"/>
      <c r="P13" s="32"/>
      <c r="Q13" s="32"/>
      <c r="R13" s="9"/>
      <c r="S13" s="9"/>
    </row>
    <row r="14" spans="2:22">
      <c r="C14" s="24"/>
      <c r="D14" s="24"/>
      <c r="E14" s="24"/>
      <c r="F14" s="31"/>
      <c r="G14" s="31"/>
      <c r="H14" s="31"/>
      <c r="I14" s="32"/>
      <c r="J14" s="32"/>
      <c r="K14" s="32"/>
      <c r="L14" s="32"/>
      <c r="M14" s="32"/>
      <c r="N14" s="32"/>
      <c r="O14" s="32"/>
      <c r="P14" s="32"/>
      <c r="Q14" s="32"/>
    </row>
    <row r="15" spans="2:22">
      <c r="C15" s="24"/>
      <c r="D15" s="24"/>
      <c r="E15" s="24"/>
      <c r="I15"/>
      <c r="J15"/>
      <c r="K15"/>
      <c r="L15"/>
      <c r="M15"/>
      <c r="N15"/>
      <c r="O15" s="27"/>
      <c r="P15" s="27"/>
      <c r="Q15" s="27"/>
      <c r="S15" s="9"/>
    </row>
    <row r="16" spans="2:22">
      <c r="C16" s="24"/>
      <c r="D16" s="24"/>
      <c r="E16" s="24"/>
      <c r="F16" s="31"/>
      <c r="G16" s="31"/>
      <c r="H16" s="31"/>
      <c r="I16" s="32"/>
      <c r="J16" s="32"/>
      <c r="K16" s="32"/>
      <c r="L16" s="32"/>
      <c r="M16" s="32"/>
      <c r="N16" s="32"/>
      <c r="O16" s="32"/>
      <c r="P16" s="32"/>
      <c r="Q16" s="32"/>
      <c r="S16" s="9"/>
    </row>
    <row r="17" spans="3:24">
      <c r="C17" s="24"/>
      <c r="D17" s="24"/>
      <c r="E17" s="24"/>
      <c r="F17" s="31"/>
      <c r="G17" s="31"/>
      <c r="H17" s="31"/>
      <c r="I17" s="32"/>
      <c r="J17" s="32"/>
      <c r="K17" s="32"/>
      <c r="L17" s="32"/>
      <c r="M17" s="32"/>
      <c r="N17" s="32"/>
      <c r="O17" s="32"/>
      <c r="P17" s="32"/>
      <c r="Q17" s="32"/>
      <c r="S17" s="9"/>
    </row>
    <row r="18" spans="3:24">
      <c r="C18" s="9"/>
      <c r="D18" s="9"/>
      <c r="E18" s="9"/>
      <c r="I18"/>
      <c r="J18"/>
      <c r="K18"/>
      <c r="L18"/>
      <c r="M18"/>
      <c r="N18"/>
      <c r="O18"/>
      <c r="P18"/>
      <c r="Q18"/>
      <c r="S18" s="9"/>
    </row>
    <row r="19" spans="3:24">
      <c r="C19" s="9"/>
      <c r="D19" s="9"/>
      <c r="E19" s="9"/>
      <c r="I19"/>
      <c r="J19"/>
      <c r="K19"/>
      <c r="L19"/>
      <c r="M19"/>
      <c r="N19"/>
      <c r="O19"/>
      <c r="P19"/>
      <c r="Q19"/>
    </row>
    <row r="20" spans="3:24">
      <c r="C20" s="9"/>
      <c r="D20" s="9"/>
      <c r="E20" s="9"/>
      <c r="I20"/>
      <c r="J20"/>
      <c r="K20"/>
      <c r="L20"/>
      <c r="M20"/>
      <c r="N20"/>
      <c r="O20"/>
      <c r="P20"/>
      <c r="Q20"/>
    </row>
    <row r="21" spans="3:24">
      <c r="C21" s="9"/>
      <c r="D21" s="9"/>
      <c r="E21" s="9"/>
      <c r="I21"/>
      <c r="J21"/>
      <c r="K21"/>
      <c r="L21"/>
      <c r="M21"/>
      <c r="N21"/>
      <c r="O21"/>
      <c r="P21"/>
      <c r="Q21"/>
      <c r="S21" s="9"/>
    </row>
    <row r="22" spans="3:24">
      <c r="C22" s="9"/>
      <c r="D22" s="9"/>
      <c r="E22" s="9"/>
      <c r="I22" s="36"/>
      <c r="J22"/>
      <c r="K22"/>
      <c r="L22"/>
      <c r="M22"/>
      <c r="N22"/>
      <c r="O22"/>
      <c r="P22"/>
      <c r="Q22"/>
    </row>
    <row r="23" spans="3:24">
      <c r="C23" s="9"/>
      <c r="D23" s="9"/>
      <c r="E23" s="9"/>
      <c r="I23"/>
      <c r="J23"/>
      <c r="K23"/>
      <c r="L23"/>
      <c r="M23"/>
      <c r="N23"/>
      <c r="O23"/>
      <c r="P23"/>
      <c r="Q23"/>
      <c r="V23" s="9"/>
      <c r="X23" s="9"/>
    </row>
    <row r="24" spans="3:24">
      <c r="C24" s="9"/>
      <c r="D24" s="9"/>
      <c r="E24" s="9"/>
      <c r="I24"/>
      <c r="J24"/>
      <c r="K24"/>
      <c r="L24"/>
      <c r="M24"/>
      <c r="N24"/>
      <c r="O24"/>
      <c r="P24"/>
      <c r="Q24"/>
      <c r="V24" s="9"/>
      <c r="X24" s="9"/>
    </row>
    <row r="25" spans="3:24">
      <c r="C25" s="9"/>
      <c r="D25" s="9"/>
      <c r="E25" s="9"/>
      <c r="I25"/>
      <c r="J25"/>
      <c r="K25"/>
      <c r="L25"/>
      <c r="M25"/>
      <c r="N25"/>
      <c r="O25"/>
      <c r="P25"/>
      <c r="Q25"/>
      <c r="V25" s="9"/>
      <c r="X25" s="9"/>
    </row>
    <row r="26" spans="3:24">
      <c r="C26" s="9"/>
      <c r="D26" s="9"/>
      <c r="E26" s="9"/>
      <c r="V26" s="9"/>
      <c r="X26" s="9"/>
    </row>
    <row r="27" spans="3:24">
      <c r="C27" s="9"/>
      <c r="D27" s="9"/>
      <c r="E27" s="9"/>
      <c r="V27" s="9"/>
      <c r="X27" s="9"/>
    </row>
    <row r="28" spans="3:24">
      <c r="C28" s="9"/>
      <c r="D28" s="9"/>
      <c r="E28" s="9"/>
      <c r="V28" s="9"/>
      <c r="X28" s="9"/>
    </row>
    <row r="29" spans="3:24">
      <c r="C29" s="9"/>
      <c r="D29" s="9"/>
      <c r="E29" s="9"/>
      <c r="V29" s="9"/>
      <c r="X29" s="9"/>
    </row>
    <row r="30" spans="3:24">
      <c r="C30" s="9"/>
      <c r="D30" s="9"/>
      <c r="E30" s="9"/>
      <c r="V30" s="9"/>
      <c r="X30" s="9"/>
    </row>
    <row r="31" spans="3:24">
      <c r="C31" s="9"/>
      <c r="D31" s="9"/>
      <c r="E31" s="9"/>
      <c r="V31" s="9"/>
      <c r="X31" s="9"/>
    </row>
    <row r="32" spans="3:24" ht="13.5" thickBot="1">
      <c r="C32" s="17" t="s">
        <v>38</v>
      </c>
      <c r="D32" s="17" t="s">
        <v>82</v>
      </c>
      <c r="E32" s="17" t="s">
        <v>39</v>
      </c>
      <c r="F32" s="17" t="s">
        <v>78</v>
      </c>
      <c r="G32" s="17" t="s">
        <v>79</v>
      </c>
      <c r="H32" s="17" t="s">
        <v>80</v>
      </c>
      <c r="I32" s="17" t="s">
        <v>42</v>
      </c>
      <c r="J32" s="17" t="s">
        <v>43</v>
      </c>
      <c r="K32" s="17" t="s">
        <v>54</v>
      </c>
      <c r="L32" s="17" t="s">
        <v>55</v>
      </c>
      <c r="M32" s="17" t="s">
        <v>56</v>
      </c>
      <c r="N32" s="17" t="s">
        <v>57</v>
      </c>
      <c r="O32" s="17" t="s">
        <v>58</v>
      </c>
      <c r="P32" s="17" t="s">
        <v>59</v>
      </c>
      <c r="Q32" s="17" t="s">
        <v>60</v>
      </c>
      <c r="R32" s="9" t="s">
        <v>81</v>
      </c>
      <c r="S32" s="9" t="s">
        <v>45</v>
      </c>
    </row>
    <row r="33" spans="3:24" ht="12.95" thickTop="1">
      <c r="C33" s="24"/>
      <c r="D33" s="24"/>
      <c r="E33" s="24"/>
      <c r="F33" s="31"/>
      <c r="G33" s="31"/>
      <c r="H33" s="31"/>
      <c r="I33" s="32"/>
      <c r="J33" s="32"/>
      <c r="K33" s="32"/>
      <c r="L33" s="32"/>
      <c r="M33" s="32"/>
      <c r="N33" s="32"/>
      <c r="O33" s="32"/>
      <c r="P33" s="32"/>
      <c r="Q33" s="32"/>
      <c r="R33" s="24"/>
      <c r="S33" s="24"/>
      <c r="V33" s="9"/>
      <c r="X33" s="9"/>
    </row>
    <row r="34" spans="3:24">
      <c r="C34" s="24"/>
      <c r="D34" s="24"/>
      <c r="E34" s="24"/>
      <c r="F34" s="31"/>
      <c r="G34" s="31"/>
      <c r="H34" s="31"/>
      <c r="I34" s="32"/>
      <c r="J34" s="32"/>
      <c r="K34" s="32"/>
      <c r="L34" s="32"/>
      <c r="M34" s="32"/>
      <c r="N34" s="32"/>
      <c r="O34" s="32"/>
      <c r="P34" s="32"/>
      <c r="Q34" s="32"/>
    </row>
    <row r="35" spans="3:24">
      <c r="C35" s="24"/>
      <c r="D35" s="24"/>
      <c r="E35" s="24"/>
      <c r="F35" s="31"/>
      <c r="G35" s="31"/>
      <c r="H35" s="31"/>
      <c r="I35" s="32"/>
      <c r="J35" s="32"/>
      <c r="K35" s="32"/>
      <c r="L35" s="32"/>
      <c r="M35" s="32"/>
      <c r="N35" s="32"/>
      <c r="O35" s="32"/>
      <c r="P35" s="32"/>
      <c r="Q35" s="32"/>
      <c r="V35" s="9"/>
      <c r="X35" s="9"/>
    </row>
    <row r="36" spans="3:24">
      <c r="C36" s="24"/>
      <c r="D36" s="24"/>
      <c r="E36" s="24"/>
      <c r="F36" s="31"/>
      <c r="G36" s="31"/>
      <c r="H36" s="31"/>
      <c r="I36" s="32"/>
      <c r="J36" s="32"/>
      <c r="K36" s="32"/>
      <c r="L36" s="32"/>
      <c r="M36" s="32"/>
      <c r="N36" s="32"/>
      <c r="O36" s="32"/>
      <c r="P36" s="32"/>
      <c r="Q36" s="32"/>
      <c r="V36" s="9"/>
      <c r="X36" s="9"/>
    </row>
    <row r="37" spans="3:24">
      <c r="C37" s="9"/>
      <c r="D37" s="9"/>
      <c r="E37" s="9"/>
      <c r="I37"/>
      <c r="J37"/>
      <c r="K37"/>
      <c r="L37"/>
      <c r="M37"/>
      <c r="N37"/>
      <c r="O37"/>
      <c r="P37"/>
      <c r="Q37"/>
    </row>
    <row r="38" spans="3:24">
      <c r="C38" s="9"/>
      <c r="D38" s="9"/>
      <c r="E38" s="9"/>
      <c r="I38"/>
      <c r="J38"/>
      <c r="K38"/>
      <c r="L38"/>
      <c r="M38"/>
      <c r="N38"/>
      <c r="O38"/>
      <c r="P38"/>
      <c r="Q38"/>
      <c r="S38" s="9"/>
    </row>
    <row r="39" spans="3:24">
      <c r="C39" s="9"/>
      <c r="D39" s="9"/>
      <c r="E39" s="9"/>
      <c r="I39" s="8"/>
      <c r="J39" s="8"/>
      <c r="K39"/>
      <c r="L39"/>
      <c r="M39" s="8"/>
      <c r="N39"/>
      <c r="O39"/>
      <c r="P39"/>
      <c r="Q39"/>
      <c r="R39" s="9"/>
    </row>
    <row r="40" spans="3:24">
      <c r="C40" s="9"/>
      <c r="D40" s="9"/>
      <c r="E40" s="9"/>
      <c r="I40"/>
      <c r="J40"/>
      <c r="K40"/>
      <c r="L40"/>
      <c r="M40"/>
      <c r="N40"/>
      <c r="O40"/>
      <c r="P40"/>
      <c r="Q40"/>
      <c r="S40" s="9"/>
    </row>
    <row r="41" spans="3:24">
      <c r="C41" s="9"/>
      <c r="D41" s="9"/>
      <c r="E41" s="9"/>
      <c r="I41"/>
      <c r="J41"/>
      <c r="K41"/>
      <c r="L41"/>
      <c r="M41"/>
      <c r="N41"/>
      <c r="O41"/>
      <c r="P41"/>
      <c r="Q41"/>
      <c r="S41" s="9"/>
    </row>
    <row r="42" spans="3:24">
      <c r="C42" s="9"/>
      <c r="D42" s="9"/>
      <c r="E42" s="9"/>
      <c r="I42"/>
      <c r="J42"/>
      <c r="K42"/>
      <c r="L42"/>
      <c r="M42"/>
      <c r="N42"/>
      <c r="O42"/>
      <c r="P42"/>
      <c r="Q42"/>
      <c r="S42" s="9"/>
    </row>
    <row r="43" spans="3:24">
      <c r="C43" s="9"/>
      <c r="D43" s="9"/>
      <c r="E43" s="9"/>
      <c r="I43"/>
      <c r="J43"/>
      <c r="K43"/>
      <c r="L43"/>
      <c r="M43"/>
      <c r="N43"/>
      <c r="O43"/>
      <c r="P43"/>
      <c r="Q43"/>
      <c r="S43" s="9"/>
    </row>
    <row r="44" spans="3:24">
      <c r="I44"/>
      <c r="J44"/>
      <c r="K44"/>
      <c r="L44"/>
      <c r="M44"/>
      <c r="N44"/>
      <c r="O44"/>
      <c r="P44"/>
      <c r="Q44"/>
    </row>
    <row r="45" spans="3:24">
      <c r="I45"/>
      <c r="J45"/>
      <c r="K45"/>
      <c r="L45"/>
      <c r="M45"/>
      <c r="N45"/>
      <c r="O45"/>
      <c r="P45"/>
      <c r="Q45"/>
    </row>
    <row r="46" spans="3:24">
      <c r="I46"/>
      <c r="J46"/>
      <c r="K46"/>
      <c r="L46"/>
      <c r="M46"/>
      <c r="N46"/>
      <c r="O46"/>
      <c r="P46"/>
      <c r="Q46"/>
    </row>
    <row r="47" spans="3:24">
      <c r="I47"/>
      <c r="J47"/>
      <c r="K47"/>
      <c r="L47"/>
      <c r="M47"/>
      <c r="N47"/>
      <c r="O47"/>
      <c r="P47"/>
      <c r="Q47"/>
    </row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pans="6:17">
      <c r="F81" s="1"/>
      <c r="G81" s="1"/>
      <c r="H81" s="1"/>
    </row>
    <row r="82" spans="6:17">
      <c r="F82" s="1"/>
      <c r="G82" s="1"/>
      <c r="H82" s="1"/>
    </row>
    <row r="83" spans="6:17">
      <c r="F83" s="1"/>
      <c r="G83" s="1"/>
      <c r="H83" s="1"/>
    </row>
    <row r="84" spans="6:17">
      <c r="F84" s="1"/>
      <c r="G84" s="1"/>
      <c r="H84" s="1"/>
    </row>
    <row r="85" spans="6:17">
      <c r="F85" s="1"/>
      <c r="G85" s="1"/>
      <c r="H85" s="1"/>
    </row>
    <row r="86" spans="6:17">
      <c r="F86" s="1"/>
      <c r="G86" s="1"/>
      <c r="H86" s="1"/>
    </row>
    <row r="87" spans="6:17">
      <c r="I87"/>
      <c r="J87"/>
      <c r="K87"/>
      <c r="L87"/>
      <c r="M87"/>
      <c r="N87"/>
      <c r="O87"/>
      <c r="P87"/>
      <c r="Q87"/>
    </row>
    <row r="88" spans="6:17">
      <c r="I88"/>
      <c r="J88"/>
      <c r="K88"/>
      <c r="L88"/>
      <c r="M88"/>
      <c r="N88"/>
      <c r="O88"/>
      <c r="P88"/>
      <c r="Q88"/>
    </row>
    <row r="89" spans="6:17">
      <c r="I89"/>
      <c r="J89"/>
      <c r="K89"/>
      <c r="L89"/>
      <c r="M89"/>
      <c r="N89"/>
      <c r="O89"/>
      <c r="P89"/>
      <c r="Q89"/>
    </row>
    <row r="90" spans="6:17">
      <c r="I90"/>
      <c r="J90"/>
      <c r="K90"/>
      <c r="L90"/>
      <c r="M90"/>
      <c r="N90"/>
      <c r="O90"/>
      <c r="P90"/>
      <c r="Q90"/>
    </row>
    <row r="91" spans="6:17">
      <c r="I91"/>
      <c r="J91"/>
      <c r="K91"/>
      <c r="L91"/>
      <c r="M91"/>
      <c r="N91"/>
      <c r="O91"/>
      <c r="P91"/>
      <c r="Q91"/>
    </row>
    <row r="92" spans="6:17">
      <c r="I92"/>
      <c r="J92"/>
      <c r="K92"/>
      <c r="L92"/>
      <c r="M92"/>
      <c r="N92"/>
      <c r="O92"/>
      <c r="P92"/>
      <c r="Q92"/>
    </row>
    <row r="93" spans="6:17">
      <c r="I93"/>
      <c r="J93"/>
      <c r="K93"/>
      <c r="L93"/>
      <c r="M93"/>
      <c r="N93"/>
      <c r="O93"/>
      <c r="P93"/>
      <c r="Q93"/>
    </row>
    <row r="94" spans="6:17">
      <c r="I94"/>
      <c r="J94"/>
      <c r="K94"/>
      <c r="L94"/>
      <c r="M94"/>
      <c r="N94"/>
      <c r="O94"/>
      <c r="P94"/>
      <c r="Q94"/>
    </row>
    <row r="95" spans="6:17">
      <c r="I95"/>
      <c r="J95"/>
      <c r="K95"/>
      <c r="L95"/>
      <c r="M95"/>
      <c r="N95"/>
      <c r="O95"/>
      <c r="P95"/>
      <c r="Q95"/>
    </row>
    <row r="96" spans="6:17">
      <c r="I96"/>
      <c r="J96"/>
      <c r="K96"/>
      <c r="L96"/>
      <c r="M96"/>
      <c r="N96"/>
      <c r="O96"/>
      <c r="P96"/>
      <c r="Q96"/>
    </row>
    <row r="97" spans="9:17">
      <c r="I97"/>
      <c r="J97"/>
      <c r="K97"/>
      <c r="L97"/>
      <c r="M97"/>
      <c r="N97"/>
      <c r="O97"/>
      <c r="P97"/>
      <c r="Q97"/>
    </row>
    <row r="98" spans="9:17">
      <c r="I98"/>
      <c r="J98"/>
      <c r="K98"/>
      <c r="L98"/>
      <c r="M98"/>
      <c r="N98"/>
      <c r="O98"/>
      <c r="P98"/>
      <c r="Q98"/>
    </row>
    <row r="99" spans="9:17">
      <c r="I99"/>
      <c r="J99"/>
      <c r="K99"/>
      <c r="L99"/>
      <c r="M99"/>
      <c r="N99"/>
      <c r="O99"/>
      <c r="P99"/>
      <c r="Q99"/>
    </row>
    <row r="100" spans="9:17">
      <c r="I100"/>
      <c r="J100"/>
      <c r="K100"/>
      <c r="L100"/>
      <c r="M100"/>
      <c r="N100"/>
      <c r="O100"/>
      <c r="P100"/>
      <c r="Q100"/>
    </row>
    <row r="101" spans="9:17">
      <c r="I101"/>
      <c r="J101"/>
      <c r="K101"/>
      <c r="L101"/>
      <c r="M101"/>
      <c r="N101"/>
      <c r="O101"/>
      <c r="P101"/>
      <c r="Q101"/>
    </row>
    <row r="102" spans="9:17">
      <c r="I102"/>
      <c r="J102"/>
      <c r="K102"/>
      <c r="L102"/>
      <c r="M102"/>
      <c r="N102"/>
      <c r="O102"/>
      <c r="P102"/>
      <c r="Q102"/>
    </row>
    <row r="103" spans="9:17">
      <c r="I103"/>
      <c r="J103"/>
      <c r="K103"/>
      <c r="L103"/>
      <c r="M103"/>
      <c r="N103"/>
      <c r="O103"/>
      <c r="P103"/>
      <c r="Q103"/>
    </row>
    <row r="104" spans="9:17">
      <c r="I104"/>
      <c r="J104"/>
      <c r="K104"/>
      <c r="L104"/>
      <c r="M104"/>
      <c r="N104"/>
      <c r="O104"/>
      <c r="P104"/>
      <c r="Q104"/>
    </row>
    <row r="105" spans="9:17">
      <c r="I105"/>
      <c r="J105"/>
      <c r="K105"/>
      <c r="L105"/>
      <c r="M105"/>
      <c r="N105"/>
      <c r="O105"/>
      <c r="P105"/>
      <c r="Q105"/>
    </row>
    <row r="106" spans="9:17">
      <c r="I106"/>
      <c r="J106"/>
      <c r="K106"/>
      <c r="L106"/>
      <c r="M106"/>
      <c r="N106"/>
      <c r="O106"/>
      <c r="P106"/>
      <c r="Q106"/>
    </row>
    <row r="107" spans="9:17">
      <c r="I107"/>
      <c r="J107"/>
      <c r="K107"/>
      <c r="L107"/>
      <c r="M107"/>
      <c r="N107"/>
      <c r="O107"/>
      <c r="P107"/>
      <c r="Q107"/>
    </row>
    <row r="108" spans="9:17">
      <c r="I108"/>
      <c r="J108"/>
      <c r="K108"/>
      <c r="L108"/>
      <c r="M108"/>
      <c r="N108"/>
      <c r="O108"/>
      <c r="P108"/>
      <c r="Q108"/>
    </row>
    <row r="109" spans="9:17">
      <c r="I109"/>
      <c r="J109"/>
      <c r="K109"/>
      <c r="L109"/>
      <c r="M109"/>
      <c r="N109"/>
      <c r="O109"/>
      <c r="P109"/>
      <c r="Q109"/>
    </row>
    <row r="110" spans="9:17">
      <c r="I110"/>
      <c r="J110"/>
      <c r="K110"/>
      <c r="L110"/>
      <c r="M110"/>
      <c r="N110"/>
      <c r="O110"/>
      <c r="P110"/>
      <c r="Q110"/>
    </row>
    <row r="111" spans="9:17">
      <c r="I111"/>
      <c r="J111"/>
      <c r="K111"/>
      <c r="L111"/>
      <c r="M111"/>
      <c r="N111"/>
      <c r="O111"/>
      <c r="P111"/>
      <c r="Q111"/>
    </row>
    <row r="112" spans="9:17">
      <c r="I112"/>
      <c r="J112"/>
      <c r="K112"/>
      <c r="L112"/>
      <c r="M112"/>
      <c r="N112"/>
      <c r="O112"/>
      <c r="P112"/>
      <c r="Q112"/>
    </row>
    <row r="113" spans="9:17">
      <c r="I113"/>
      <c r="J113"/>
      <c r="K113"/>
      <c r="L113"/>
      <c r="M113"/>
      <c r="N113"/>
      <c r="O113"/>
      <c r="P113"/>
      <c r="Q113"/>
    </row>
    <row r="114" spans="9:17">
      <c r="I114"/>
      <c r="J114"/>
      <c r="K114"/>
      <c r="L114"/>
      <c r="M114"/>
      <c r="N114"/>
      <c r="O114"/>
      <c r="P114"/>
      <c r="Q114"/>
    </row>
    <row r="115" spans="9:17">
      <c r="I115"/>
      <c r="J115"/>
      <c r="K115"/>
      <c r="L115"/>
      <c r="M115"/>
      <c r="N115"/>
      <c r="O115"/>
      <c r="P115"/>
      <c r="Q115"/>
    </row>
    <row r="116" spans="9:17">
      <c r="I116"/>
      <c r="J116"/>
      <c r="K116"/>
      <c r="L116"/>
      <c r="M116"/>
      <c r="N116"/>
      <c r="O116"/>
      <c r="P116"/>
      <c r="Q116"/>
    </row>
  </sheetData>
  <phoneticPr fontId="4" type="noConversion"/>
  <conditionalFormatting sqref="I11:N11 I33:N33">
    <cfRule type="cellIs" dxfId="45" priority="19" operator="equal">
      <formula>0</formula>
    </cfRule>
  </conditionalFormatting>
  <conditionalFormatting sqref="J18:Q18">
    <cfRule type="cellIs" dxfId="44" priority="15" operator="equal">
      <formula>0</formula>
    </cfRule>
  </conditionalFormatting>
  <conditionalFormatting sqref="J17:N17">
    <cfRule type="cellIs" dxfId="43" priority="14" operator="equal">
      <formula>0</formula>
    </cfRule>
  </conditionalFormatting>
  <conditionalFormatting sqref="I17">
    <cfRule type="cellIs" dxfId="42" priority="6" operator="equal">
      <formula>0</formula>
    </cfRule>
  </conditionalFormatting>
  <conditionalFormatting sqref="I18">
    <cfRule type="cellIs" dxfId="41" priority="7" operator="equal">
      <formula>0</formula>
    </cfRule>
  </conditionalFormatting>
  <conditionalFormatting sqref="O11:Q17">
    <cfRule type="cellIs" dxfId="40" priority="5" operator="equal">
      <formula>0</formula>
    </cfRule>
  </conditionalFormatting>
  <conditionalFormatting sqref="O33:Q34 O36:Q36">
    <cfRule type="cellIs" dxfId="39" priority="4" operator="equal">
      <formula>0</formula>
    </cfRule>
  </conditionalFormatting>
  <conditionalFormatting sqref="O35:Q35">
    <cfRule type="cellIs" dxfId="38" priority="3" operator="equal">
      <formula>0</formula>
    </cfRule>
  </conditionalFormatting>
  <conditionalFormatting sqref="I38:N38">
    <cfRule type="cellIs" dxfId="37" priority="2" operator="equal">
      <formula>0</formula>
    </cfRule>
  </conditionalFormatting>
  <conditionalFormatting sqref="V11">
    <cfRule type="cellIs" dxfId="36" priority="1" operator="equal">
      <formula>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6</xdr:col>
                <xdr:colOff>666750</xdr:colOff>
                <xdr:row>2</xdr:row>
                <xdr:rowOff>69850</xdr:rowOff>
              </from>
              <to>
                <xdr:col>9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241" r:id="rId6" name="CommandButton1"/>
      </mc:Fallback>
    </mc:AlternateContent>
    <mc:AlternateContent xmlns:mc="http://schemas.openxmlformats.org/markup-compatibility/2006">
      <mc:Choice Requires="x14">
        <control shapeId="10243" r:id="rId4" name="CmdSavePsi">
          <controlPr defaultSize="0" autoLine="0" r:id="rId5">
            <anchor moveWithCells="1">
              <from>
                <xdr:col>10</xdr:col>
                <xdr:colOff>323850</xdr:colOff>
                <xdr:row>3</xdr:row>
                <xdr:rowOff>0</xdr:rowOff>
              </from>
              <to>
                <xdr:col>12</xdr:col>
                <xdr:colOff>533400</xdr:colOff>
                <xdr:row>5</xdr:row>
                <xdr:rowOff>50800</xdr:rowOff>
              </to>
            </anchor>
          </controlPr>
        </control>
      </mc:Choice>
      <mc:Fallback>
        <control shapeId="10243" r:id="rId4" name="CmdSavePsi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O52"/>
  <sheetViews>
    <sheetView zoomScale="80" workbookViewId="0">
      <selection activeCell="M65" sqref="M65"/>
    </sheetView>
  </sheetViews>
  <sheetFormatPr defaultColWidth="9.140625" defaultRowHeight="12.6"/>
  <cols>
    <col min="1" max="1" width="3.7109375" style="1" customWidth="1"/>
    <col min="2" max="4" width="9.140625" style="1"/>
    <col min="5" max="6" width="9.140625" style="3"/>
    <col min="7" max="15" width="11.28515625" style="1" customWidth="1"/>
    <col min="16" max="17" width="9.140625" style="1"/>
    <col min="18" max="18" width="14.5703125" style="1" customWidth="1"/>
    <col min="19" max="16384" width="9.140625" style="1"/>
  </cols>
  <sheetData>
    <row r="2" spans="2:15" ht="23.1">
      <c r="B2" s="5" t="s">
        <v>83</v>
      </c>
    </row>
    <row r="4" spans="2:15" ht="12.95">
      <c r="C4" s="2" t="s">
        <v>11</v>
      </c>
      <c r="D4" s="10" t="s">
        <v>84</v>
      </c>
      <c r="E4" s="11"/>
      <c r="F4" s="11"/>
    </row>
    <row r="5" spans="2:15">
      <c r="E5" s="1"/>
      <c r="F5" s="1"/>
    </row>
    <row r="7" spans="2:15">
      <c r="C7" s="1" t="s">
        <v>37</v>
      </c>
      <c r="D7" s="1">
        <f>COUNTA(C11:C10001)</f>
        <v>0</v>
      </c>
    </row>
    <row r="10" spans="2:15" ht="13.5" thickBot="1">
      <c r="B10" s="2"/>
      <c r="C10" s="17" t="s">
        <v>85</v>
      </c>
      <c r="D10" s="17" t="s">
        <v>86</v>
      </c>
      <c r="E10" s="17" t="s">
        <v>40</v>
      </c>
      <c r="F10" s="17" t="s">
        <v>79</v>
      </c>
      <c r="G10" s="17" t="s">
        <v>43</v>
      </c>
      <c r="H10" s="17" t="s">
        <v>43</v>
      </c>
      <c r="I10" s="17" t="s">
        <v>54</v>
      </c>
      <c r="J10" s="17" t="s">
        <v>55</v>
      </c>
      <c r="K10" s="17" t="s">
        <v>56</v>
      </c>
      <c r="L10" s="17" t="s">
        <v>57</v>
      </c>
      <c r="M10" s="17" t="s">
        <v>58</v>
      </c>
      <c r="N10" s="17" t="s">
        <v>59</v>
      </c>
      <c r="O10" s="17" t="s">
        <v>60</v>
      </c>
    </row>
    <row r="11" spans="2:15" ht="12.95" thickTop="1">
      <c r="C11" s="9"/>
      <c r="D11" s="9"/>
      <c r="E11" s="1"/>
      <c r="F11" s="1"/>
      <c r="G11" s="27"/>
      <c r="H11" s="27"/>
      <c r="I11" s="27"/>
      <c r="J11" s="27"/>
      <c r="K11" s="27"/>
      <c r="L11" s="27"/>
      <c r="M11" s="27"/>
      <c r="N11" s="27"/>
      <c r="O11" s="27"/>
    </row>
    <row r="12" spans="2:15">
      <c r="C12" s="9"/>
      <c r="D12" s="9"/>
      <c r="E12" s="1"/>
      <c r="F12" s="1"/>
      <c r="G12"/>
      <c r="H12" s="27"/>
      <c r="I12" s="27"/>
      <c r="J12" s="27"/>
      <c r="K12" s="27"/>
      <c r="L12" s="27"/>
      <c r="M12" s="27"/>
      <c r="N12" s="27"/>
      <c r="O12" s="27"/>
    </row>
    <row r="13" spans="2:15">
      <c r="C13" s="9"/>
      <c r="D13" s="9"/>
      <c r="E13" s="1"/>
      <c r="F13" s="1"/>
      <c r="G13"/>
      <c r="H13" s="27"/>
      <c r="I13" s="27"/>
      <c r="J13" s="27"/>
      <c r="K13" s="27"/>
      <c r="L13" s="27"/>
      <c r="M13" s="27"/>
      <c r="N13" s="27"/>
      <c r="O13" s="27"/>
    </row>
    <row r="14" spans="2:15">
      <c r="C14" s="9"/>
      <c r="D14" s="9"/>
      <c r="E14" s="1"/>
      <c r="F14" s="1"/>
      <c r="G14"/>
      <c r="H14" s="27"/>
      <c r="I14" s="27"/>
      <c r="J14" s="27"/>
      <c r="K14" s="27"/>
      <c r="L14" s="27"/>
      <c r="M14" s="27"/>
      <c r="N14" s="27"/>
      <c r="O14" s="27"/>
    </row>
    <row r="15" spans="2:15">
      <c r="C15" s="9"/>
      <c r="D15" s="9"/>
      <c r="E15" s="1"/>
      <c r="F15" s="1"/>
      <c r="G15"/>
      <c r="H15" s="27"/>
      <c r="I15" s="27"/>
      <c r="J15" s="27"/>
      <c r="K15" s="27"/>
      <c r="L15" s="27"/>
      <c r="M15" s="27"/>
      <c r="N15" s="27"/>
      <c r="O15" s="27"/>
    </row>
    <row r="16" spans="2:15">
      <c r="C16" s="9"/>
      <c r="D16" s="9"/>
      <c r="E16" s="1"/>
      <c r="F16" s="1"/>
      <c r="G16"/>
      <c r="H16" s="27"/>
      <c r="I16" s="27"/>
      <c r="J16" s="27"/>
      <c r="K16" s="27"/>
      <c r="L16" s="27"/>
      <c r="M16" s="27"/>
      <c r="N16" s="27"/>
      <c r="O16" s="27"/>
    </row>
    <row r="17" spans="3:15">
      <c r="C17" s="9"/>
      <c r="D17" s="9"/>
      <c r="E17" s="1"/>
      <c r="F17" s="1"/>
      <c r="G17" s="27"/>
      <c r="H17" s="29"/>
      <c r="I17" s="27"/>
      <c r="J17" s="27"/>
      <c r="K17" s="27"/>
      <c r="L17" s="27"/>
      <c r="M17" s="27"/>
      <c r="N17" s="27"/>
      <c r="O17" s="27"/>
    </row>
    <row r="18" spans="3:15">
      <c r="C18" s="9"/>
      <c r="D18" s="9"/>
      <c r="E18" s="1"/>
      <c r="F18" s="1"/>
      <c r="G18"/>
      <c r="H18" s="27"/>
      <c r="I18" s="27"/>
      <c r="J18" s="27"/>
      <c r="K18" s="27"/>
      <c r="L18" s="27"/>
      <c r="M18" s="27"/>
      <c r="N18" s="27"/>
      <c r="O18" s="27"/>
    </row>
    <row r="19" spans="3:15">
      <c r="C19" s="9"/>
      <c r="D19" s="9"/>
      <c r="E19" s="1"/>
      <c r="F19" s="1"/>
      <c r="G19"/>
      <c r="H19" s="27"/>
      <c r="I19" s="27"/>
      <c r="J19" s="27"/>
      <c r="K19" s="27"/>
      <c r="L19" s="27"/>
      <c r="M19" s="27"/>
      <c r="N19" s="27"/>
      <c r="O19" s="27"/>
    </row>
    <row r="20" spans="3:15">
      <c r="C20" s="9"/>
      <c r="D20" s="9"/>
      <c r="E20" s="1"/>
      <c r="F20" s="1"/>
      <c r="G20"/>
      <c r="H20"/>
      <c r="I20"/>
      <c r="J20"/>
      <c r="K20"/>
      <c r="L20"/>
      <c r="M20"/>
      <c r="N20"/>
      <c r="O20"/>
    </row>
    <row r="21" spans="3:15">
      <c r="C21" s="9"/>
      <c r="D21" s="9"/>
      <c r="E21" s="1"/>
      <c r="F21" s="1"/>
      <c r="G21"/>
      <c r="H21"/>
      <c r="I21"/>
      <c r="J21"/>
      <c r="K21"/>
      <c r="L21"/>
      <c r="M21"/>
      <c r="N21"/>
      <c r="O21"/>
    </row>
    <row r="22" spans="3:15">
      <c r="C22" s="9"/>
      <c r="D22" s="9"/>
      <c r="E22" s="1"/>
      <c r="F22" s="1"/>
      <c r="G22"/>
      <c r="H22"/>
      <c r="I22"/>
      <c r="J22"/>
      <c r="K22"/>
      <c r="L22"/>
      <c r="M22"/>
      <c r="N22"/>
      <c r="O22"/>
    </row>
    <row r="23" spans="3:15">
      <c r="C23" s="9"/>
      <c r="D23" s="9"/>
      <c r="E23" s="1"/>
      <c r="F23" s="1"/>
      <c r="G23"/>
      <c r="H23"/>
      <c r="I23"/>
      <c r="J23"/>
      <c r="K23"/>
      <c r="L23"/>
      <c r="M23"/>
      <c r="N23"/>
      <c r="O23"/>
    </row>
    <row r="24" spans="3:15">
      <c r="C24" s="9"/>
      <c r="D24" s="9"/>
      <c r="E24" s="1"/>
      <c r="F24" s="1"/>
      <c r="G24"/>
      <c r="H24" s="8"/>
      <c r="I24"/>
      <c r="J24"/>
      <c r="K24"/>
      <c r="L24"/>
      <c r="M24"/>
      <c r="N24"/>
      <c r="O24"/>
    </row>
    <row r="25" spans="3:15">
      <c r="C25" s="9"/>
      <c r="D25" s="9"/>
      <c r="E25" s="1"/>
      <c r="F25" s="1"/>
      <c r="G25"/>
      <c r="H25"/>
      <c r="I25"/>
      <c r="J25"/>
      <c r="K25"/>
      <c r="L25"/>
      <c r="M25"/>
      <c r="N25"/>
      <c r="O25"/>
    </row>
    <row r="26" spans="3:15">
      <c r="C26" s="9"/>
      <c r="D26" s="9"/>
      <c r="E26" s="1"/>
      <c r="F26" s="1"/>
      <c r="G26"/>
      <c r="H26"/>
      <c r="I26"/>
      <c r="J26"/>
      <c r="K26"/>
      <c r="L26"/>
      <c r="M26"/>
      <c r="N26"/>
      <c r="O26"/>
    </row>
    <row r="27" spans="3:15">
      <c r="C27" s="9"/>
      <c r="D27" s="9"/>
      <c r="E27" s="1"/>
      <c r="F27" s="1"/>
      <c r="G27"/>
      <c r="H27" s="8"/>
      <c r="I27" s="8"/>
      <c r="J27"/>
      <c r="K27"/>
      <c r="L27"/>
      <c r="M27"/>
      <c r="N27"/>
      <c r="O27"/>
    </row>
    <row r="28" spans="3:15">
      <c r="C28" s="9"/>
      <c r="D28" s="9"/>
      <c r="E28" s="1"/>
      <c r="F28" s="1"/>
      <c r="G28"/>
      <c r="H28" s="8"/>
      <c r="I28" s="8"/>
      <c r="J28"/>
      <c r="K28"/>
      <c r="L28"/>
      <c r="M28"/>
      <c r="N28"/>
      <c r="O28"/>
    </row>
    <row r="29" spans="3:15">
      <c r="C29" s="9"/>
      <c r="D29" s="9"/>
      <c r="E29" s="1"/>
      <c r="F29" s="1"/>
      <c r="G29"/>
      <c r="H29" s="8"/>
      <c r="I29" s="8"/>
      <c r="J29"/>
      <c r="K29"/>
      <c r="L29"/>
      <c r="M29"/>
      <c r="N29"/>
      <c r="O29"/>
    </row>
    <row r="30" spans="3:15">
      <c r="C30" s="9"/>
      <c r="D30" s="9"/>
      <c r="E30" s="1"/>
      <c r="F30" s="1"/>
      <c r="G30"/>
      <c r="H30" s="8"/>
      <c r="I30" s="8"/>
      <c r="J30"/>
      <c r="K30"/>
      <c r="L30"/>
      <c r="M30"/>
      <c r="N30"/>
      <c r="O30"/>
    </row>
    <row r="31" spans="3:15">
      <c r="C31" s="9"/>
      <c r="D31" s="9"/>
      <c r="E31" s="1"/>
      <c r="F31" s="1"/>
      <c r="G31"/>
      <c r="H31" s="8"/>
      <c r="I31" s="8"/>
      <c r="J31"/>
      <c r="K31"/>
      <c r="L31"/>
      <c r="M31"/>
      <c r="N31"/>
      <c r="O31"/>
    </row>
    <row r="32" spans="3:15">
      <c r="C32" s="9"/>
      <c r="D32" s="9"/>
      <c r="E32" s="1"/>
      <c r="F32" s="1"/>
      <c r="G32"/>
      <c r="H32"/>
      <c r="I32"/>
      <c r="J32"/>
      <c r="K32"/>
      <c r="L32"/>
      <c r="M32"/>
      <c r="N32"/>
      <c r="O32"/>
    </row>
    <row r="33" spans="3:15">
      <c r="C33" s="9"/>
      <c r="D33" s="9"/>
      <c r="E33" s="1"/>
      <c r="F33" s="1"/>
      <c r="G33"/>
      <c r="H33"/>
      <c r="I33"/>
      <c r="J33"/>
      <c r="K33"/>
      <c r="L33"/>
      <c r="M33"/>
      <c r="N33"/>
      <c r="O33"/>
    </row>
    <row r="34" spans="3:15">
      <c r="E34" s="1"/>
      <c r="F34" s="1"/>
      <c r="G34"/>
      <c r="H34"/>
      <c r="I34"/>
      <c r="J34"/>
      <c r="K34"/>
      <c r="L34"/>
      <c r="M34"/>
      <c r="N34"/>
      <c r="O34"/>
    </row>
    <row r="35" spans="3:15">
      <c r="G35"/>
      <c r="H35"/>
      <c r="I35"/>
      <c r="J35"/>
      <c r="K35"/>
      <c r="L35"/>
      <c r="M35"/>
      <c r="N35"/>
      <c r="O35"/>
    </row>
    <row r="36" spans="3:15">
      <c r="G36"/>
      <c r="H36"/>
      <c r="I36"/>
      <c r="J36"/>
      <c r="K36"/>
      <c r="L36"/>
      <c r="M36"/>
      <c r="N36"/>
      <c r="O36"/>
    </row>
    <row r="37" spans="3:15">
      <c r="G37"/>
      <c r="H37"/>
      <c r="I37"/>
      <c r="J37"/>
      <c r="K37"/>
      <c r="L37"/>
      <c r="M37"/>
      <c r="N37"/>
      <c r="O37"/>
    </row>
    <row r="38" spans="3:15">
      <c r="G38"/>
      <c r="H38"/>
      <c r="I38"/>
      <c r="J38"/>
      <c r="K38"/>
      <c r="L38"/>
      <c r="M38"/>
      <c r="N38"/>
      <c r="O38"/>
    </row>
    <row r="39" spans="3:15">
      <c r="G39"/>
      <c r="H39"/>
      <c r="I39"/>
      <c r="J39"/>
      <c r="K39"/>
      <c r="L39"/>
      <c r="M39"/>
      <c r="N39"/>
      <c r="O39"/>
    </row>
    <row r="40" spans="3:15">
      <c r="G40"/>
      <c r="H40"/>
      <c r="I40"/>
      <c r="J40"/>
      <c r="K40"/>
      <c r="L40"/>
      <c r="M40"/>
      <c r="N40"/>
      <c r="O40"/>
    </row>
    <row r="41" spans="3:15">
      <c r="G41"/>
      <c r="H41"/>
      <c r="I41"/>
      <c r="J41"/>
      <c r="K41"/>
      <c r="L41"/>
      <c r="M41"/>
      <c r="N41"/>
      <c r="O41"/>
    </row>
    <row r="42" spans="3:15">
      <c r="G42"/>
      <c r="H42"/>
      <c r="I42"/>
      <c r="J42"/>
      <c r="K42"/>
      <c r="L42"/>
      <c r="M42"/>
      <c r="N42"/>
      <c r="O42"/>
    </row>
    <row r="43" spans="3:15">
      <c r="G43"/>
      <c r="H43"/>
      <c r="I43"/>
      <c r="J43"/>
      <c r="K43"/>
      <c r="L43"/>
      <c r="M43"/>
      <c r="N43"/>
      <c r="O43"/>
    </row>
    <row r="44" spans="3:15">
      <c r="G44"/>
      <c r="H44"/>
      <c r="I44"/>
      <c r="J44"/>
      <c r="K44"/>
      <c r="L44"/>
      <c r="M44"/>
      <c r="N44"/>
      <c r="O44"/>
    </row>
    <row r="45" spans="3:15">
      <c r="G45"/>
      <c r="H45"/>
      <c r="I45"/>
      <c r="J45"/>
      <c r="K45"/>
      <c r="L45"/>
      <c r="M45"/>
      <c r="N45"/>
      <c r="O45"/>
    </row>
    <row r="46" spans="3:15">
      <c r="G46"/>
      <c r="H46"/>
      <c r="I46"/>
      <c r="J46"/>
      <c r="K46"/>
      <c r="L46"/>
      <c r="M46"/>
      <c r="N46"/>
      <c r="O46"/>
    </row>
    <row r="47" spans="3:15">
      <c r="G47"/>
      <c r="H47"/>
      <c r="I47"/>
      <c r="J47"/>
      <c r="K47"/>
      <c r="L47"/>
      <c r="M47"/>
      <c r="N47"/>
      <c r="O47"/>
    </row>
    <row r="48" spans="3:15">
      <c r="G48"/>
      <c r="H48"/>
      <c r="I48"/>
      <c r="J48"/>
      <c r="K48"/>
      <c r="L48"/>
      <c r="M48"/>
      <c r="N48"/>
      <c r="O48"/>
    </row>
    <row r="49" spans="7:15">
      <c r="G49"/>
      <c r="H49"/>
      <c r="I49"/>
      <c r="J49"/>
      <c r="K49"/>
      <c r="L49"/>
      <c r="M49"/>
      <c r="N49"/>
      <c r="O49"/>
    </row>
    <row r="50" spans="7:15">
      <c r="G50"/>
      <c r="H50"/>
      <c r="I50"/>
      <c r="J50"/>
      <c r="K50"/>
      <c r="L50"/>
      <c r="M50"/>
      <c r="N50"/>
      <c r="O50"/>
    </row>
    <row r="51" spans="7:15">
      <c r="G51"/>
      <c r="H51"/>
      <c r="I51"/>
      <c r="J51"/>
      <c r="K51"/>
      <c r="L51"/>
      <c r="M51"/>
      <c r="N51"/>
      <c r="O51"/>
    </row>
    <row r="52" spans="7:15">
      <c r="G52"/>
      <c r="H52"/>
      <c r="I52"/>
      <c r="J52"/>
      <c r="K52"/>
      <c r="L52"/>
      <c r="M52"/>
      <c r="N52"/>
      <c r="O52"/>
    </row>
  </sheetData>
  <phoneticPr fontId="4" type="noConversion"/>
  <conditionalFormatting sqref="G15 H20:O20 G23 G32:O35 G38:O52 M36:O37">
    <cfRule type="cellIs" dxfId="35" priority="82" operator="equal">
      <formula>0</formula>
    </cfRule>
  </conditionalFormatting>
  <conditionalFormatting sqref="H11:O11">
    <cfRule type="cellIs" dxfId="34" priority="81" operator="equal">
      <formula>0</formula>
    </cfRule>
  </conditionalFormatting>
  <conditionalFormatting sqref="H12:O12">
    <cfRule type="cellIs" dxfId="33" priority="80" operator="equal">
      <formula>0</formula>
    </cfRule>
  </conditionalFormatting>
  <conditionalFormatting sqref="H13:O14">
    <cfRule type="cellIs" dxfId="32" priority="79" operator="equal">
      <formula>0</formula>
    </cfRule>
  </conditionalFormatting>
  <conditionalFormatting sqref="G18:G20">
    <cfRule type="cellIs" dxfId="31" priority="76" operator="equal">
      <formula>0</formula>
    </cfRule>
  </conditionalFormatting>
  <conditionalFormatting sqref="G17">
    <cfRule type="cellIs" dxfId="30" priority="75" operator="equal">
      <formula>0</formula>
    </cfRule>
  </conditionalFormatting>
  <conditionalFormatting sqref="G12:G14">
    <cfRule type="cellIs" dxfId="29" priority="74" operator="equal">
      <formula>0</formula>
    </cfRule>
  </conditionalFormatting>
  <conditionalFormatting sqref="G11">
    <cfRule type="cellIs" dxfId="28" priority="73" operator="equal">
      <formula>0</formula>
    </cfRule>
  </conditionalFormatting>
  <conditionalFormatting sqref="H15:O15">
    <cfRule type="cellIs" dxfId="27" priority="72" operator="equal">
      <formula>0</formula>
    </cfRule>
  </conditionalFormatting>
  <conditionalFormatting sqref="G16">
    <cfRule type="cellIs" dxfId="26" priority="70" operator="equal">
      <formula>0</formula>
    </cfRule>
  </conditionalFormatting>
  <conditionalFormatting sqref="J16:O16">
    <cfRule type="cellIs" dxfId="25" priority="68" operator="equal">
      <formula>0</formula>
    </cfRule>
  </conditionalFormatting>
  <conditionalFormatting sqref="H17:I17">
    <cfRule type="cellIs" dxfId="24" priority="67" operator="equal">
      <formula>0</formula>
    </cfRule>
  </conditionalFormatting>
  <conditionalFormatting sqref="J17:O17">
    <cfRule type="cellIs" dxfId="23" priority="66" operator="equal">
      <formula>0</formula>
    </cfRule>
  </conditionalFormatting>
  <conditionalFormatting sqref="H16:I16">
    <cfRule type="cellIs" dxfId="22" priority="65" operator="equal">
      <formula>0</formula>
    </cfRule>
  </conditionalFormatting>
  <conditionalFormatting sqref="H18:O18">
    <cfRule type="cellIs" dxfId="21" priority="64" operator="equal">
      <formula>0</formula>
    </cfRule>
  </conditionalFormatting>
  <conditionalFormatting sqref="H19:O19">
    <cfRule type="cellIs" dxfId="20" priority="63" operator="equal">
      <formula>0</formula>
    </cfRule>
  </conditionalFormatting>
  <conditionalFormatting sqref="H21:O21">
    <cfRule type="cellIs" dxfId="19" priority="62" operator="equal">
      <formula>0</formula>
    </cfRule>
  </conditionalFormatting>
  <conditionalFormatting sqref="G21">
    <cfRule type="cellIs" dxfId="18" priority="61" operator="equal">
      <formula>0</formula>
    </cfRule>
  </conditionalFormatting>
  <conditionalFormatting sqref="H22:O22">
    <cfRule type="cellIs" dxfId="17" priority="60" operator="equal">
      <formula>0</formula>
    </cfRule>
  </conditionalFormatting>
  <conditionalFormatting sqref="G22">
    <cfRule type="cellIs" dxfId="16" priority="59" operator="equal">
      <formula>0</formula>
    </cfRule>
  </conditionalFormatting>
  <conditionalFormatting sqref="H23:O23">
    <cfRule type="cellIs" dxfId="15" priority="58" operator="equal">
      <formula>0</formula>
    </cfRule>
  </conditionalFormatting>
  <conditionalFormatting sqref="G36:L37">
    <cfRule type="cellIs" dxfId="14" priority="38" operator="equal">
      <formula>0</formula>
    </cfRule>
  </conditionalFormatting>
  <conditionalFormatting sqref="G27:O27">
    <cfRule type="cellIs" dxfId="13" priority="13" operator="equal">
      <formula>0</formula>
    </cfRule>
  </conditionalFormatting>
  <conditionalFormatting sqref="L24:O24">
    <cfRule type="cellIs" dxfId="12" priority="12" operator="equal">
      <formula>0</formula>
    </cfRule>
  </conditionalFormatting>
  <conditionalFormatting sqref="L25:O25">
    <cfRule type="cellIs" dxfId="11" priority="11" operator="equal">
      <formula>0</formula>
    </cfRule>
  </conditionalFormatting>
  <conditionalFormatting sqref="G24:K24">
    <cfRule type="cellIs" dxfId="10" priority="10" operator="equal">
      <formula>0</formula>
    </cfRule>
  </conditionalFormatting>
  <conditionalFormatting sqref="I26:O26">
    <cfRule type="cellIs" dxfId="9" priority="9" operator="equal">
      <formula>0</formula>
    </cfRule>
  </conditionalFormatting>
  <conditionalFormatting sqref="G25:K25">
    <cfRule type="cellIs" dxfId="8" priority="8" operator="equal">
      <formula>0</formula>
    </cfRule>
  </conditionalFormatting>
  <conditionalFormatting sqref="K28:O28">
    <cfRule type="cellIs" dxfId="7" priority="7" operator="equal">
      <formula>0</formula>
    </cfRule>
  </conditionalFormatting>
  <conditionalFormatting sqref="K29:O31">
    <cfRule type="cellIs" dxfId="6" priority="6" operator="equal">
      <formula>0</formula>
    </cfRule>
  </conditionalFormatting>
  <conditionalFormatting sqref="G28:J28">
    <cfRule type="cellIs" dxfId="5" priority="5" operator="equal">
      <formula>0</formula>
    </cfRule>
  </conditionalFormatting>
  <conditionalFormatting sqref="G29:J29">
    <cfRule type="cellIs" dxfId="4" priority="4" operator="equal">
      <formula>0</formula>
    </cfRule>
  </conditionalFormatting>
  <conditionalFormatting sqref="G30:J30">
    <cfRule type="cellIs" dxfId="3" priority="3" operator="equal">
      <formula>0</formula>
    </cfRule>
  </conditionalFormatting>
  <conditionalFormatting sqref="G31:J31">
    <cfRule type="cellIs" dxfId="2" priority="2" operator="equal">
      <formula>0</formula>
    </cfRule>
  </conditionalFormatting>
  <conditionalFormatting sqref="G26:H26">
    <cfRule type="cellIs" dxfId="1" priority="1" operator="equal">
      <formula>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7</xdr:col>
                <xdr:colOff>127000</xdr:colOff>
                <xdr:row>1</xdr:row>
                <xdr:rowOff>241300</xdr:rowOff>
              </from>
              <to>
                <xdr:col>9</xdr:col>
                <xdr:colOff>241300</xdr:colOff>
                <xdr:row>5</xdr:row>
                <xdr:rowOff>31750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Q52"/>
  <sheetViews>
    <sheetView zoomScale="80" workbookViewId="0">
      <selection activeCell="N57" sqref="N57"/>
    </sheetView>
  </sheetViews>
  <sheetFormatPr defaultColWidth="9.140625" defaultRowHeight="12.6"/>
  <cols>
    <col min="1" max="1" width="3.7109375" style="1" customWidth="1"/>
    <col min="2" max="5" width="9.140625" style="1"/>
    <col min="6" max="8" width="9.140625" style="3"/>
    <col min="9" max="17" width="10.5703125" style="1" customWidth="1"/>
    <col min="18" max="16384" width="9.140625" style="1"/>
  </cols>
  <sheetData>
    <row r="2" spans="2:17" ht="23.1">
      <c r="B2" s="5" t="s">
        <v>87</v>
      </c>
    </row>
    <row r="4" spans="2:17" ht="12.95">
      <c r="C4" s="2" t="s">
        <v>11</v>
      </c>
      <c r="D4" s="10" t="s">
        <v>88</v>
      </c>
      <c r="E4" s="11"/>
      <c r="F4" s="11"/>
    </row>
    <row r="5" spans="2:17">
      <c r="F5" s="1"/>
    </row>
    <row r="6" spans="2:17" ht="12.95">
      <c r="D6" s="7" t="s">
        <v>15</v>
      </c>
      <c r="E6" s="7"/>
    </row>
    <row r="7" spans="2:17">
      <c r="C7" s="1" t="s">
        <v>37</v>
      </c>
      <c r="D7" s="1">
        <f>COUNTA(C11:C39)</f>
        <v>0</v>
      </c>
    </row>
    <row r="10" spans="2:17" ht="13.5" thickBot="1">
      <c r="B10" s="2"/>
      <c r="C10" s="17" t="s">
        <v>85</v>
      </c>
      <c r="D10" s="17" t="s">
        <v>38</v>
      </c>
      <c r="E10" s="17" t="s">
        <v>39</v>
      </c>
      <c r="F10" s="17" t="s">
        <v>78</v>
      </c>
      <c r="G10" s="17" t="s">
        <v>79</v>
      </c>
      <c r="H10" s="17" t="s">
        <v>80</v>
      </c>
      <c r="I10" s="17" t="s">
        <v>42</v>
      </c>
      <c r="J10" s="17" t="s">
        <v>43</v>
      </c>
      <c r="K10" s="17" t="s">
        <v>54</v>
      </c>
      <c r="L10" s="17" t="s">
        <v>55</v>
      </c>
      <c r="M10" s="17" t="s">
        <v>56</v>
      </c>
      <c r="N10" s="17" t="s">
        <v>57</v>
      </c>
      <c r="O10" s="17" t="s">
        <v>58</v>
      </c>
      <c r="P10" s="17" t="s">
        <v>59</v>
      </c>
      <c r="Q10" s="17" t="s">
        <v>60</v>
      </c>
    </row>
    <row r="11" spans="2:17" ht="12.95" thickTop="1">
      <c r="C11" s="9"/>
      <c r="D11" s="9"/>
      <c r="E11" s="9"/>
      <c r="F11" s="1"/>
      <c r="G11" s="1"/>
      <c r="H11" s="1"/>
      <c r="I11" s="19"/>
      <c r="J11"/>
      <c r="K11"/>
      <c r="L11"/>
      <c r="M11"/>
      <c r="N11"/>
      <c r="O11"/>
      <c r="P11"/>
      <c r="Q11"/>
    </row>
    <row r="12" spans="2:17">
      <c r="C12" s="9"/>
      <c r="D12" s="9"/>
      <c r="E12" s="9"/>
      <c r="F12" s="1"/>
      <c r="G12" s="1"/>
      <c r="H12" s="1"/>
      <c r="I12" s="19"/>
      <c r="J12"/>
      <c r="K12"/>
      <c r="L12"/>
      <c r="M12"/>
      <c r="N12"/>
      <c r="O12"/>
      <c r="P12"/>
      <c r="Q12"/>
    </row>
    <row r="13" spans="2:17">
      <c r="C13" s="9"/>
      <c r="D13" s="9"/>
      <c r="E13" s="9"/>
      <c r="F13" s="1"/>
      <c r="G13" s="1"/>
      <c r="H13" s="1"/>
      <c r="I13" s="19"/>
      <c r="J13"/>
      <c r="K13"/>
      <c r="L13"/>
      <c r="M13"/>
      <c r="N13"/>
      <c r="O13"/>
      <c r="P13"/>
      <c r="Q13"/>
    </row>
    <row r="14" spans="2:17">
      <c r="C14" s="9"/>
      <c r="D14" s="9"/>
      <c r="E14" s="9"/>
      <c r="F14" s="1"/>
      <c r="G14" s="1"/>
      <c r="H14" s="1"/>
      <c r="I14" s="19"/>
      <c r="J14"/>
      <c r="K14"/>
      <c r="L14"/>
      <c r="M14"/>
      <c r="N14"/>
      <c r="O14"/>
      <c r="P14"/>
      <c r="Q14"/>
    </row>
    <row r="15" spans="2:17">
      <c r="C15" s="9"/>
      <c r="D15" s="9"/>
      <c r="E15" s="9"/>
      <c r="F15" s="1"/>
      <c r="G15" s="1"/>
      <c r="H15" s="1"/>
      <c r="I15" s="19"/>
      <c r="J15"/>
      <c r="K15"/>
      <c r="L15"/>
      <c r="M15"/>
      <c r="N15"/>
      <c r="O15"/>
      <c r="P15"/>
      <c r="Q15"/>
    </row>
    <row r="16" spans="2:17">
      <c r="C16" s="9"/>
      <c r="D16" s="9"/>
      <c r="E16" s="9"/>
      <c r="F16" s="1"/>
      <c r="G16" s="1"/>
      <c r="H16" s="1"/>
      <c r="I16" s="19"/>
      <c r="J16"/>
      <c r="K16"/>
      <c r="L16"/>
      <c r="M16"/>
      <c r="N16"/>
      <c r="O16"/>
      <c r="P16"/>
      <c r="Q16"/>
    </row>
    <row r="17" spans="3:17">
      <c r="C17" s="9"/>
      <c r="D17" s="9"/>
      <c r="E17" s="9"/>
      <c r="F17" s="1"/>
      <c r="G17" s="1"/>
      <c r="H17" s="1"/>
      <c r="I17" s="19"/>
      <c r="J17"/>
      <c r="K17"/>
      <c r="L17"/>
      <c r="M17"/>
      <c r="N17"/>
      <c r="O17"/>
      <c r="P17"/>
      <c r="Q17"/>
    </row>
    <row r="18" spans="3:17">
      <c r="C18" s="9"/>
      <c r="D18" s="9"/>
      <c r="E18" s="9"/>
      <c r="F18" s="1"/>
      <c r="G18" s="1"/>
      <c r="H18" s="1"/>
      <c r="I18"/>
      <c r="J18" s="8"/>
      <c r="K18"/>
      <c r="L18"/>
      <c r="M18"/>
      <c r="N18"/>
      <c r="O18"/>
      <c r="P18"/>
      <c r="Q18"/>
    </row>
    <row r="19" spans="3:17">
      <c r="C19" s="9"/>
      <c r="D19" s="9"/>
      <c r="E19" s="9"/>
      <c r="F19" s="1"/>
      <c r="G19" s="1"/>
      <c r="H19" s="1"/>
      <c r="I19"/>
      <c r="J19"/>
      <c r="K19"/>
      <c r="L19"/>
      <c r="M19"/>
      <c r="N19"/>
      <c r="O19"/>
      <c r="P19"/>
      <c r="Q19"/>
    </row>
    <row r="20" spans="3:17">
      <c r="C20" s="9"/>
      <c r="D20" s="9"/>
      <c r="E20" s="9"/>
      <c r="F20" s="1"/>
      <c r="G20" s="1"/>
      <c r="H20" s="1"/>
      <c r="I20"/>
      <c r="J20"/>
      <c r="K20"/>
      <c r="L20"/>
      <c r="M20"/>
      <c r="N20"/>
      <c r="O20"/>
      <c r="P20"/>
      <c r="Q20"/>
    </row>
    <row r="21" spans="3:17">
      <c r="C21" s="9"/>
      <c r="D21" s="9"/>
      <c r="E21" s="9"/>
      <c r="F21" s="1"/>
      <c r="G21" s="1"/>
      <c r="H21" s="1"/>
      <c r="I21"/>
      <c r="J21"/>
      <c r="K21"/>
      <c r="L21"/>
      <c r="M21"/>
      <c r="N21"/>
      <c r="O21"/>
      <c r="P21"/>
      <c r="Q21"/>
    </row>
    <row r="22" spans="3:17">
      <c r="C22" s="9"/>
      <c r="D22" s="9"/>
      <c r="E22" s="9"/>
      <c r="F22" s="1"/>
      <c r="G22" s="1"/>
      <c r="H22" s="1"/>
      <c r="I22"/>
      <c r="J22"/>
      <c r="K22"/>
      <c r="L22"/>
      <c r="M22"/>
      <c r="N22"/>
      <c r="O22"/>
      <c r="P22"/>
      <c r="Q22"/>
    </row>
    <row r="23" spans="3:17">
      <c r="C23" s="9"/>
      <c r="D23" s="9"/>
      <c r="E23" s="9"/>
      <c r="F23" s="1"/>
      <c r="G23" s="1"/>
      <c r="H23" s="1"/>
      <c r="I23"/>
      <c r="J23"/>
      <c r="K23"/>
      <c r="L23"/>
      <c r="M23"/>
      <c r="N23"/>
      <c r="O23"/>
      <c r="P23"/>
      <c r="Q23"/>
    </row>
    <row r="24" spans="3:17">
      <c r="C24" s="9"/>
      <c r="D24" s="9"/>
      <c r="E24" s="9"/>
      <c r="F24" s="1"/>
      <c r="G24" s="1"/>
      <c r="H24" s="1"/>
      <c r="I24"/>
      <c r="J24"/>
      <c r="K24"/>
      <c r="L24"/>
      <c r="M24"/>
      <c r="N24"/>
      <c r="O24"/>
      <c r="P24"/>
      <c r="Q24"/>
    </row>
    <row r="25" spans="3:17">
      <c r="I25"/>
      <c r="J25"/>
      <c r="K25"/>
      <c r="L25"/>
      <c r="M25"/>
      <c r="N25"/>
      <c r="O25"/>
      <c r="P25"/>
      <c r="Q25"/>
    </row>
    <row r="26" spans="3:17">
      <c r="I26"/>
      <c r="J26"/>
      <c r="K26"/>
      <c r="L26"/>
      <c r="M26"/>
      <c r="N26"/>
      <c r="O26"/>
      <c r="P26"/>
      <c r="Q26"/>
    </row>
    <row r="27" spans="3:17">
      <c r="I27"/>
      <c r="J27"/>
      <c r="K27"/>
      <c r="L27"/>
      <c r="M27"/>
      <c r="N27"/>
      <c r="O27"/>
      <c r="P27"/>
      <c r="Q27"/>
    </row>
    <row r="28" spans="3:17">
      <c r="I28"/>
      <c r="J28"/>
      <c r="K28"/>
      <c r="L28"/>
      <c r="M28"/>
      <c r="N28"/>
      <c r="O28"/>
      <c r="P28"/>
      <c r="Q28"/>
    </row>
    <row r="29" spans="3:17">
      <c r="I29"/>
      <c r="J29"/>
      <c r="K29"/>
      <c r="L29"/>
      <c r="M29"/>
      <c r="N29"/>
      <c r="O29"/>
      <c r="P29"/>
      <c r="Q29"/>
    </row>
    <row r="30" spans="3:17">
      <c r="I30" s="19"/>
      <c r="J30"/>
      <c r="K30"/>
      <c r="L30"/>
      <c r="M30"/>
      <c r="N30"/>
      <c r="O30"/>
      <c r="P30"/>
      <c r="Q30"/>
    </row>
    <row r="31" spans="3:17">
      <c r="I31"/>
      <c r="J31"/>
      <c r="K31"/>
      <c r="L31"/>
      <c r="M31"/>
      <c r="N31"/>
      <c r="O31"/>
      <c r="P31"/>
      <c r="Q31"/>
    </row>
    <row r="32" spans="3:17">
      <c r="I32"/>
      <c r="J32"/>
      <c r="K32"/>
      <c r="L32"/>
      <c r="M32"/>
      <c r="N32"/>
      <c r="O32"/>
      <c r="P32"/>
      <c r="Q32"/>
    </row>
    <row r="33" spans="6:17">
      <c r="I33"/>
      <c r="J33"/>
      <c r="K33"/>
      <c r="L33"/>
      <c r="M33"/>
      <c r="N33"/>
      <c r="O33"/>
      <c r="P33"/>
      <c r="Q33"/>
    </row>
    <row r="34" spans="6:17">
      <c r="I34"/>
      <c r="J34"/>
      <c r="K34"/>
      <c r="L34"/>
      <c r="M34"/>
      <c r="N34"/>
      <c r="O34"/>
      <c r="P34"/>
      <c r="Q34"/>
    </row>
    <row r="35" spans="6:17">
      <c r="I35"/>
      <c r="J35"/>
      <c r="K35"/>
      <c r="L35"/>
      <c r="M35"/>
      <c r="N35"/>
      <c r="O35"/>
      <c r="P35"/>
      <c r="Q35"/>
    </row>
    <row r="36" spans="6:17">
      <c r="I36"/>
      <c r="J36"/>
      <c r="K36"/>
      <c r="L36"/>
      <c r="M36"/>
      <c r="N36"/>
      <c r="O36"/>
      <c r="P36"/>
      <c r="Q36"/>
    </row>
    <row r="37" spans="6:17">
      <c r="I37"/>
      <c r="J37"/>
      <c r="K37"/>
      <c r="L37"/>
      <c r="M37"/>
      <c r="N37"/>
      <c r="O37"/>
      <c r="P37"/>
      <c r="Q37"/>
    </row>
    <row r="38" spans="6:17">
      <c r="I38"/>
      <c r="J38"/>
      <c r="K38"/>
      <c r="L38"/>
      <c r="M38"/>
      <c r="N38"/>
      <c r="O38"/>
      <c r="P38"/>
      <c r="Q38"/>
    </row>
    <row r="39" spans="6:17">
      <c r="I39"/>
      <c r="J39"/>
      <c r="K39"/>
      <c r="L39"/>
      <c r="M39"/>
      <c r="N39"/>
      <c r="O39"/>
      <c r="P39"/>
      <c r="Q39"/>
    </row>
    <row r="40" spans="6:17">
      <c r="F40" s="1"/>
      <c r="G40" s="1"/>
      <c r="H40" s="1"/>
      <c r="I40"/>
      <c r="J40"/>
      <c r="K40"/>
      <c r="L40"/>
      <c r="M40"/>
      <c r="N40"/>
      <c r="O40"/>
      <c r="P40"/>
      <c r="Q40"/>
    </row>
    <row r="41" spans="6:17">
      <c r="I41"/>
      <c r="J41"/>
      <c r="K41"/>
      <c r="L41"/>
      <c r="M41"/>
      <c r="N41"/>
      <c r="O41"/>
      <c r="P41"/>
      <c r="Q41"/>
    </row>
    <row r="42" spans="6:17">
      <c r="I42"/>
      <c r="J42"/>
      <c r="K42"/>
      <c r="L42"/>
      <c r="M42"/>
      <c r="N42"/>
      <c r="O42"/>
      <c r="P42"/>
      <c r="Q42"/>
    </row>
    <row r="43" spans="6:17">
      <c r="I43"/>
      <c r="J43"/>
      <c r="K43"/>
      <c r="L43"/>
      <c r="M43"/>
      <c r="N43"/>
      <c r="O43"/>
      <c r="P43"/>
      <c r="Q43"/>
    </row>
    <row r="44" spans="6:17">
      <c r="I44"/>
      <c r="J44"/>
      <c r="K44"/>
      <c r="L44"/>
      <c r="M44"/>
      <c r="N44"/>
      <c r="O44"/>
      <c r="P44"/>
      <c r="Q44"/>
    </row>
    <row r="45" spans="6:17">
      <c r="I45"/>
      <c r="J45"/>
      <c r="K45"/>
      <c r="L45"/>
      <c r="M45"/>
      <c r="N45"/>
      <c r="O45"/>
      <c r="P45"/>
      <c r="Q45"/>
    </row>
    <row r="46" spans="6:17">
      <c r="I46"/>
      <c r="J46"/>
      <c r="K46"/>
      <c r="L46"/>
      <c r="M46"/>
      <c r="N46"/>
      <c r="O46"/>
      <c r="P46"/>
      <c r="Q46"/>
    </row>
    <row r="47" spans="6:17">
      <c r="I47"/>
      <c r="J47"/>
      <c r="K47"/>
      <c r="L47"/>
      <c r="M47"/>
      <c r="N47"/>
      <c r="O47"/>
      <c r="P47"/>
      <c r="Q47"/>
    </row>
    <row r="48" spans="6:17">
      <c r="I48"/>
      <c r="J48"/>
      <c r="K48"/>
      <c r="L48"/>
      <c r="M48"/>
      <c r="N48"/>
      <c r="O48"/>
      <c r="P48"/>
      <c r="Q48"/>
    </row>
    <row r="49" spans="9:17">
      <c r="I49"/>
      <c r="J49"/>
      <c r="K49"/>
      <c r="L49"/>
      <c r="M49"/>
      <c r="N49"/>
      <c r="O49"/>
      <c r="P49"/>
      <c r="Q49"/>
    </row>
    <row r="50" spans="9:17">
      <c r="I50"/>
      <c r="J50"/>
      <c r="K50"/>
      <c r="L50"/>
      <c r="M50"/>
      <c r="N50"/>
      <c r="O50"/>
      <c r="P50"/>
      <c r="Q50"/>
    </row>
    <row r="51" spans="9:17">
      <c r="I51"/>
      <c r="J51"/>
      <c r="K51"/>
      <c r="L51"/>
      <c r="M51"/>
      <c r="N51"/>
      <c r="O51"/>
      <c r="P51"/>
      <c r="Q51"/>
    </row>
    <row r="52" spans="9:17">
      <c r="I52"/>
      <c r="J52"/>
      <c r="K52"/>
      <c r="L52"/>
      <c r="M52"/>
      <c r="N52"/>
      <c r="O52"/>
      <c r="P52"/>
      <c r="Q52"/>
    </row>
  </sheetData>
  <phoneticPr fontId="4" type="noConversion"/>
  <conditionalFormatting sqref="I11:Q52">
    <cfRule type="cellIs" dxfId="0" priority="1" operator="equal">
      <formula>0</formula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6</xdr:col>
                <xdr:colOff>565150</xdr:colOff>
                <xdr:row>1</xdr:row>
                <xdr:rowOff>146050</xdr:rowOff>
              </from>
              <to>
                <xdr:col>9</xdr:col>
                <xdr:colOff>260350</xdr:colOff>
                <xdr:row>4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6:C25"/>
  <sheetViews>
    <sheetView zoomScale="90" zoomScaleNormal="90" workbookViewId="0">
      <selection activeCell="C55" sqref="C55"/>
    </sheetView>
  </sheetViews>
  <sheetFormatPr defaultRowHeight="12.6"/>
  <cols>
    <col min="3" max="3" width="87.7109375" customWidth="1"/>
  </cols>
  <sheetData>
    <row r="6" spans="3:3">
      <c r="C6" s="19"/>
    </row>
    <row r="7" spans="3:3">
      <c r="C7" s="19"/>
    </row>
    <row r="8" spans="3:3">
      <c r="C8" s="19"/>
    </row>
    <row r="9" spans="3:3">
      <c r="C9" s="19"/>
    </row>
    <row r="10" spans="3:3">
      <c r="C10" s="19"/>
    </row>
    <row r="11" spans="3:3">
      <c r="C11" s="19"/>
    </row>
    <row r="12" spans="3:3">
      <c r="C12" s="19"/>
    </row>
    <row r="13" spans="3:3">
      <c r="C13" s="19"/>
    </row>
    <row r="14" spans="3:3">
      <c r="C14" s="19"/>
    </row>
    <row r="15" spans="3:3">
      <c r="C15" s="19"/>
    </row>
    <row r="16" spans="3:3">
      <c r="C16" s="19"/>
    </row>
    <row r="17" spans="3:3">
      <c r="C17" s="19"/>
    </row>
    <row r="18" spans="3:3">
      <c r="C18" s="19"/>
    </row>
    <row r="19" spans="3:3">
      <c r="C19" s="19"/>
    </row>
    <row r="20" spans="3:3">
      <c r="C20" s="19"/>
    </row>
    <row r="21" spans="3:3">
      <c r="C21" s="19"/>
    </row>
    <row r="22" spans="3:3">
      <c r="C22" s="19"/>
    </row>
    <row r="23" spans="3:3">
      <c r="C23" s="19"/>
    </row>
    <row r="24" spans="3:3">
      <c r="C24" s="19"/>
    </row>
    <row r="25" spans="3:3">
      <c r="C25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02f74cf1-ae9f-400d-bc52-3bcd3a9e177f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946254CC3DCC2243829C0114955FFFDC" ma:contentTypeVersion="20" ma:contentTypeDescription="Create a new document." ma:contentTypeScope="" ma:versionID="2390134c84f9bf37829b2005d6a17821">
  <xsd:schema xmlns:xsd="http://www.w3.org/2001/XMLSchema" xmlns:xs="http://www.w3.org/2001/XMLSchema" xmlns:p="http://schemas.microsoft.com/office/2006/metadata/properties" xmlns:ns2="0b8dc557-2c0f-45b0-8a94-30b051e149ac" xmlns:ns3="5b4e24bb-367d-45dc-b637-097f3fb44482" xmlns:ns4="d8a3ff31-0bf5-4b05-89dd-c9d0dcb2535f" targetNamespace="http://schemas.microsoft.com/office/2006/metadata/properties" ma:root="true" ma:fieldsID="fc7cdf7d57ba6ec4f3e177b329bfadc6" ns2:_="" ns3:_="" ns4:_="">
    <xsd:import namespace="0b8dc557-2c0f-45b0-8a94-30b051e149ac"/>
    <xsd:import namespace="5b4e24bb-367d-45dc-b637-097f3fb44482"/>
    <xsd:import namespace="d8a3ff31-0bf5-4b05-89dd-c9d0dcb2535f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2:SharedWithUsers" minOccurs="0"/>
                <xsd:element ref="ns2:SharedWithDetails" minOccurs="0"/>
                <xsd:element ref="ns2:j463fd55c1e24278acd7d668b68aa43a" minOccurs="0"/>
                <xsd:element ref="ns4:MediaServiceObjectDetectorVersions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SearchProperties" minOccurs="0"/>
                <xsd:element ref="ns4:MediaServiceBillingMetadata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8dc557-2c0f-45b0-8a94-30b051e149ac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6;#TECHNOLOGY DIGITAL ＆ INNOVATION (TDI)|90177810-19d5-40f0-8fda-8eb6a1357ee0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7;#Norway|cd21f0fc-a0f3-48c6-8f36-ae1c60534e37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11;#Technology development and qualification results documentation|1dc0fd69-270f-4253-8578-d31ba81855ea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8;#Technology development and implementation (TDI)|01afcb3b-5eca-414e-9ead-1d3cb7205fcb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9;#Technology development and implementation|dc35df5a-637b-4931-aa8a-8ad4f87f1407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10;#Restricted|2778d0cb-d518-40da-b77b-8925576cf660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j463fd55c1e24278acd7d668b68aa43a" ma:index="32" nillable="true" ma:taxonomy="true" ma:internalName="j463fd55c1e24278acd7d668b68aa43a" ma:taxonomyFieldName="EIMOrganisationUnit" ma:displayName="Organisation Unit" ma:default="12;#TDI EMERGING AND FUTURE BUSINESS (TDI EFB)|3c50ca31-343a-4f74-bdb6-2f7078209a65" ma:fieldId="{3463fd55-c1e2-4278-acd7-d668b68aa43a}" ma:sspId="02f74cf1-ae9f-400d-bc52-3bcd3a9e177f" ma:termSetId="f36a540b-7bb7-4142-ae76-bc96ba0f7f0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459b0f03-dded-4fa7-8604-c43881ca5c34}" ma:internalName="TaxCatchAll" ma:showField="CatchAllData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459b0f03-dded-4fa7-8604-c43881ca5c34}" ma:internalName="TaxCatchAllLabel" ma:readOnly="true" ma:showField="CatchAllDataLabel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a3ff31-0bf5-4b05-89dd-c9d0dcb25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3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40" nillable="true" ma:taxonomy="true" ma:internalName="lcf76f155ced4ddcb4097134ff3c332f" ma:taxonomyFieldName="MediaServiceImageTags" ma:displayName="Image Tags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4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4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43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44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9e92212f5fa42fa9b52bc2f3224e0af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Restricted</TermName>
          <TermId xmlns="http://schemas.microsoft.com/office/infopath/2007/PartnerControls">2778d0cb-d518-40da-b77b-8925576cf660</TermId>
        </TermInfo>
      </Terms>
    </b519d5ff8fc64ffea9cb9a4c0b377271>
    <d632f762b19c46329b06e4a329cb5038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TaxCatchAll xmlns="5b4e24bb-367d-45dc-b637-097f3fb44482">
      <Value>12</Value>
      <Value>11</Value>
      <Value>10</Value>
      <Value>9</Value>
      <Value>8</Value>
      <Value>7</Value>
      <Value>6</Value>
      <Value>3</Value>
      <Value>2</Value>
      <Value>1</Value>
    </TaxCatchAll>
    <mbf6ec96a4d94feeaf76fee4d5d0c80e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c71f94430ee24530b6af52dc58e8598c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qualification results documentation</TermName>
          <TermId xmlns="http://schemas.microsoft.com/office/infopath/2007/PartnerControls">1dc0fd69-270f-4253-8578-d31ba81855ea</TermId>
        </TermInfo>
      </Terms>
    </c71f94430ee24530b6af52dc58e8598c>
    <lcf76f155ced4ddcb4097134ff3c332f xmlns="d8a3ff31-0bf5-4b05-89dd-c9d0dcb2535f">
      <Terms xmlns="http://schemas.microsoft.com/office/infopath/2007/PartnerControls"/>
    </lcf76f155ced4ddcb4097134ff3c332f>
    <hfb23c77fa4f4618a5f446ac03ac12a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 (TDI)</TermName>
          <TermId xmlns="http://schemas.microsoft.com/office/infopath/2007/PartnerControls">01afcb3b-5eca-414e-9ead-1d3cb7205fcb</TermId>
        </TermInfo>
      </Terms>
    </hfb23c77fa4f4618a5f446ac03ac12ab>
    <gd56e2644879487f8da67586944cf0f5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g971e9ce8060489b80a056801d36d93d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</TermName>
          <TermId xmlns="http://schemas.microsoft.com/office/infopath/2007/PartnerControls">dc35df5a-637b-4931-aa8a-8ad4f87f1407</TermId>
        </TermInfo>
      </Terms>
    </g971e9ce8060489b80a056801d36d93d>
    <j463fd55c1e24278acd7d668b68aa43a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TDI EMERGING AND FUTURE BUSINESS (TDI EFB)</TermName>
          <TermId xmlns="http://schemas.microsoft.com/office/infopath/2007/PartnerControls">3c50ca31-343a-4f74-bdb6-2f7078209a65</TermId>
        </TermInfo>
      </Terms>
    </j463fd55c1e24278acd7d668b68aa43a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5A8F50-8BCC-41F2-8346-FE86A4DE292D}"/>
</file>

<file path=customXml/itemProps2.xml><?xml version="1.0" encoding="utf-8"?>
<ds:datastoreItem xmlns:ds="http://schemas.openxmlformats.org/officeDocument/2006/customXml" ds:itemID="{26EC423F-29A7-4099-A900-67B47DDD594B}"/>
</file>

<file path=customXml/itemProps3.xml><?xml version="1.0" encoding="utf-8"?>
<ds:datastoreItem xmlns:ds="http://schemas.openxmlformats.org/officeDocument/2006/customXml" ds:itemID="{178C26FB-DAAA-466E-82C9-EF054686778C}"/>
</file>

<file path=customXml/itemProps4.xml><?xml version="1.0" encoding="utf-8"?>
<ds:datastoreItem xmlns:ds="http://schemas.openxmlformats.org/officeDocument/2006/customXml" ds:itemID="{F60EDDEA-E52A-4CC6-8191-67F9179FB441}"/>
</file>

<file path=docMetadata/LabelInfo.xml><?xml version="1.0" encoding="utf-8"?>
<clbl:labelList xmlns:clbl="http://schemas.microsoft.com/office/2020/mipLabelMetadata">
  <clbl:label id="{046c756f-26af-49d7-8b14-b166fcf3e7d5}" enabled="1" method="Standard" siteId="{3aa4a235-b6e2-48d5-9195-7fcf05b459b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瑓瑡楯⁬十A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Kaasa, Baard</dc:creator>
  <cp:keywords/>
  <dc:description/>
  <cp:lastModifiedBy>Sven Morten Hesjevik</cp:lastModifiedBy>
  <cp:revision/>
  <dcterms:created xsi:type="dcterms:W3CDTF">2007-07-30T10:55:32Z</dcterms:created>
  <dcterms:modified xsi:type="dcterms:W3CDTF">2025-10-22T06:50:39Z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S_KEYWORD">
    <vt:lpwstr/>
  </property>
  <property fmtid="{D5CDD505-2E9C-101B-9397-08002B2CF9AE}" pid="3" name="CS_CATEGORY">
    <vt:lpwstr/>
  </property>
  <property fmtid="{D5CDD505-2E9C-101B-9397-08002B2CF9AE}" pid="4" name="Expiry Date">
    <vt:lpwstr>2008-08-05T00:00:00Z</vt:lpwstr>
  </property>
  <property fmtid="{D5CDD505-2E9C-101B-9397-08002B2CF9AE}" pid="5" name="Status">
    <vt:lpwstr>Draft</vt:lpwstr>
  </property>
  <property fmtid="{D5CDD505-2E9C-101B-9397-08002B2CF9AE}" pid="6" name="CS_ACTIVITY">
    <vt:lpwstr/>
  </property>
  <property fmtid="{D5CDD505-2E9C-101B-9397-08002B2CF9AE}" pid="7" name="ContentTypeId">
    <vt:lpwstr>0x01010021A623C39873404E8BA89587BD4428B40100946254CC3DCC2243829C0114955FFFDC</vt:lpwstr>
  </property>
  <property fmtid="{D5CDD505-2E9C-101B-9397-08002B2CF9AE}" pid="8" name="EIMLegalEntity">
    <vt:lpwstr>1;#Equinor ASA|98c35a5d-62b8-4578-be3d-53b9f4deec1f</vt:lpwstr>
  </property>
  <property fmtid="{D5CDD505-2E9C-101B-9397-08002B2CF9AE}" pid="9" name="MediaServiceImageTags">
    <vt:lpwstr/>
  </property>
  <property fmtid="{D5CDD505-2E9C-101B-9397-08002B2CF9AE}" pid="10" name="EIMBusinessArea">
    <vt:lpwstr>6;#TECHNOLOGY DIGITAL ＆ INNOVATION (TDI)|90177810-19d5-40f0-8fda-8eb6a1357ee0</vt:lpwstr>
  </property>
  <property fmtid="{D5CDD505-2E9C-101B-9397-08002B2CF9AE}" pid="11" name="EIMCountry">
    <vt:lpwstr>7;#Norway|cd21f0fc-a0f3-48c6-8f36-ae1c60534e37</vt:lpwstr>
  </property>
  <property fmtid="{D5CDD505-2E9C-101B-9397-08002B2CF9AE}" pid="12" name="EIMSource">
    <vt:lpwstr>3;#Office 365|23cc2eaf-b88f-49bf-9aee-2309aadb8846</vt:lpwstr>
  </property>
  <property fmtid="{D5CDD505-2E9C-101B-9397-08002B2CF9AE}" pid="13" name="EIMSecurityClassification">
    <vt:lpwstr>10;#Restricted|2778d0cb-d518-40da-b77b-8925576cf660</vt:lpwstr>
  </property>
  <property fmtid="{D5CDD505-2E9C-101B-9397-08002B2CF9AE}" pid="14" name="EIMProcess">
    <vt:lpwstr>9;#Technology development and implementation|dc35df5a-637b-4931-aa8a-8ad4f87f1407</vt:lpwstr>
  </property>
  <property fmtid="{D5CDD505-2E9C-101B-9397-08002B2CF9AE}" pid="15" name="EIMInformationAsset">
    <vt:lpwstr>11;#Technology development and qualification results documentation|1dc0fd69-270f-4253-8578-d31ba81855ea</vt:lpwstr>
  </property>
  <property fmtid="{D5CDD505-2E9C-101B-9397-08002B2CF9AE}" pid="16" name="EIMOrganisationUnit">
    <vt:lpwstr>12;#TDI EMERGING AND FUTURE BUSINESS (TDI EFB)|3c50ca31-343a-4f74-bdb6-2f7078209a65</vt:lpwstr>
  </property>
  <property fmtid="{D5CDD505-2E9C-101B-9397-08002B2CF9AE}" pid="17" name="EIMProcessArea">
    <vt:lpwstr>8;#Technology development and implementation (TDI)|01afcb3b-5eca-414e-9ead-1d3cb7205fcb</vt:lpwstr>
  </property>
  <property fmtid="{D5CDD505-2E9C-101B-9397-08002B2CF9AE}" pid="18" name="EIMStatus">
    <vt:lpwstr>2;#Draft|af4d3abd-d88d-48b7-8fea-db9baac9496f</vt:lpwstr>
  </property>
</Properties>
</file>