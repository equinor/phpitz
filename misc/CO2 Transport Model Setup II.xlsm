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9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5.xml" ContentType="application/vnd.ms-excel.controlproperties+xml"/>
  <Override PartName="/xl/ctrlProps/ctrlProp4.xml" ContentType="application/vnd.ms-excel.controlproperties+xml"/>
  <Override PartName="/xl/ctrlProps/ctrlProp11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2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1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Relationship Id="rId5" Type="http://schemas.microsoft.com/office/2020/02/relationships/classificationlabels" Target="docMetadata/LabelInfo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ard\Dropbox\Scale Consult\Projects\2024\SC2420 Equinor CO2 transport model\08 Model\"/>
    </mc:Choice>
  </mc:AlternateContent>
  <xr:revisionPtr revIDLastSave="0" documentId="13_ncr:1_{43521340-73E3-454E-B6D4-C43E518354A6}" xr6:coauthVersionLast="47" xr6:coauthVersionMax="47" xr10:uidLastSave="{00000000-0000-0000-0000-000000000000}"/>
  <bookViews>
    <workbookView xWindow="435" yWindow="3780" windowWidth="30255" windowHeight="20280" xr2:uid="{00000000-000D-0000-FFFF-FFFF00000000}"/>
  </bookViews>
  <sheets>
    <sheet name="About" sheetId="1" r:id="rId1"/>
    <sheet name="AqSpecies" sheetId="2" r:id="rId2"/>
    <sheet name="Vol" sheetId="3" r:id="rId3"/>
    <sheet name="Solventdata" sheetId="4" r:id="rId4"/>
    <sheet name="GasData" sheetId="10" r:id="rId5"/>
    <sheet name="GasRx" sheetId="12" r:id="rId6"/>
    <sheet name="EOS_Input" sheetId="11" r:id="rId7"/>
    <sheet name="Equilibra" sheetId="8" r:id="rId8"/>
    <sheet name="GasSolub" sheetId="9" r:id="rId9"/>
    <sheet name="Eq_T" sheetId="6" r:id="rId10"/>
    <sheet name="Eq_P" sheetId="7" r:id="rId11"/>
  </sheets>
  <definedNames>
    <definedName name="AqSpeciesFileName">About!$E$25</definedName>
    <definedName name="AqSpecieVol">About!$E$26</definedName>
    <definedName name="DataFilePath">About!$E$12</definedName>
    <definedName name="DefEQFIleName">About!$E$29</definedName>
    <definedName name="EOSBinData">About!$E$33</definedName>
    <definedName name="EOSData">About!$E$32</definedName>
    <definedName name="GasReactionFile">About!$E$34</definedName>
    <definedName name="GasSolubDataFile">About!$E$30</definedName>
    <definedName name="GasThermoData">About!$E$31</definedName>
    <definedName name="Mw_C">AqSpecies!$V$4</definedName>
    <definedName name="Mw_H">AqSpecies!$V$5</definedName>
    <definedName name="Mw_N">AqSpecies!$V$7</definedName>
    <definedName name="Mw_O">AqSpecies!$V$3</definedName>
    <definedName name="Mw_S">AqSpecies!$V$6</definedName>
    <definedName name="N_aq_EQ_Species">Equilibra!$I$13</definedName>
    <definedName name="N_Datafiles">About!$D$23</definedName>
    <definedName name="N_def_EQ">Equilibra!$D$13</definedName>
    <definedName name="N_Paths">About!$D$10</definedName>
    <definedName name="N_Rx">GasRx!$D$5</definedName>
    <definedName name="N_VolData">Vol!$C$9</definedName>
    <definedName name="NEOSComp">EOS_Input!$E$6</definedName>
    <definedName name="NGasComp">GasData!$E$8</definedName>
    <definedName name="No_EQ">Eq_T!$C$13</definedName>
    <definedName name="NoAqSpecies">AqSpecies!$D$8</definedName>
    <definedName name="NoGasSpecies">GasSolub!$C$13</definedName>
    <definedName name="PathFileName">About!$E$4</definedName>
    <definedName name="ThermdataFileName">About!$E$28</definedName>
    <definedName name="WaterSolventData">About!$E$27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D5" i="12"/>
  <c r="N7" i="11" a="1"/>
  <c r="N7" i="11" s="1"/>
  <c r="M18" i="11"/>
  <c r="F11" i="12"/>
  <c r="F10" i="12"/>
  <c r="F9" i="12"/>
  <c r="F8" i="12"/>
  <c r="E8" i="10" l="1"/>
  <c r="E9" i="11"/>
  <c r="M9" i="11" s="1"/>
  <c r="E10" i="11"/>
  <c r="M10" i="11" s="1"/>
  <c r="E11" i="11"/>
  <c r="M11" i="11" s="1"/>
  <c r="E12" i="11"/>
  <c r="M12" i="11" s="1"/>
  <c r="E13" i="11"/>
  <c r="M13" i="11" s="1"/>
  <c r="E14" i="11"/>
  <c r="M14" i="11" s="1"/>
  <c r="E15" i="11"/>
  <c r="M15" i="11" s="1"/>
  <c r="E16" i="11"/>
  <c r="E17" i="11"/>
  <c r="M17" i="11" s="1"/>
  <c r="E18" i="11"/>
  <c r="E8" i="11"/>
  <c r="M8" i="11" s="1"/>
  <c r="M16" i="11"/>
  <c r="E6" i="11" l="1"/>
  <c r="I16" i="6" l="1"/>
  <c r="C19" i="7" l="1"/>
  <c r="D19" i="7"/>
  <c r="E19" i="7"/>
  <c r="F19" i="7"/>
  <c r="G19" i="7"/>
  <c r="C20" i="7"/>
  <c r="D20" i="7"/>
  <c r="E20" i="7"/>
  <c r="F20" i="7"/>
  <c r="G20" i="7"/>
  <c r="D20" i="6"/>
  <c r="D19" i="6"/>
  <c r="C20" i="6"/>
  <c r="C19" i="6"/>
  <c r="Q11" i="10" l="1"/>
  <c r="Q12" i="10"/>
  <c r="Q13" i="10"/>
  <c r="Q14" i="10"/>
  <c r="Q15" i="10"/>
  <c r="Q16" i="10"/>
  <c r="Q17" i="10"/>
  <c r="Q18" i="10"/>
  <c r="Q19" i="10"/>
  <c r="Q20" i="10"/>
  <c r="Q10" i="10"/>
  <c r="E16" i="9" l="1"/>
  <c r="E15" i="9"/>
  <c r="C16" i="9"/>
  <c r="C15" i="9"/>
  <c r="C13" i="9"/>
  <c r="S20" i="8"/>
  <c r="S19" i="8"/>
  <c r="M11" i="2" l="1"/>
  <c r="M12" i="2"/>
  <c r="M13" i="2"/>
  <c r="M14" i="2"/>
  <c r="M15" i="2"/>
  <c r="M16" i="2"/>
  <c r="M17" i="2"/>
  <c r="S16" i="8" l="1"/>
  <c r="S17" i="8"/>
  <c r="S18" i="8"/>
  <c r="S15" i="8"/>
  <c r="I13" i="8"/>
  <c r="D13" i="8"/>
  <c r="D15" i="6"/>
  <c r="D15" i="7" s="1"/>
  <c r="D16" i="6"/>
  <c r="D17" i="6"/>
  <c r="D17" i="7" s="1"/>
  <c r="D18" i="6"/>
  <c r="D18" i="7" s="1"/>
  <c r="C16" i="6"/>
  <c r="C17" i="6"/>
  <c r="C17" i="7" s="1"/>
  <c r="C18" i="6"/>
  <c r="C15" i="6"/>
  <c r="D16" i="7"/>
  <c r="C16" i="7"/>
  <c r="C18" i="7"/>
  <c r="C15" i="7"/>
  <c r="D12" i="3" l="1"/>
  <c r="D13" i="3"/>
  <c r="D14" i="3"/>
  <c r="D15" i="3"/>
  <c r="D16" i="3"/>
  <c r="D17" i="3"/>
  <c r="D18" i="3"/>
  <c r="D11" i="3"/>
  <c r="I14" i="8" a="1"/>
  <c r="I14" i="8" s="1"/>
  <c r="H16" i="2"/>
  <c r="H17" i="2"/>
  <c r="H13" i="2"/>
  <c r="E15" i="7" l="1"/>
  <c r="F15" i="7"/>
  <c r="G15" i="7"/>
  <c r="E16" i="7"/>
  <c r="F16" i="7"/>
  <c r="G16" i="7"/>
  <c r="E17" i="7"/>
  <c r="F17" i="7"/>
  <c r="G17" i="7"/>
  <c r="E18" i="7"/>
  <c r="F18" i="7"/>
  <c r="G18" i="7"/>
  <c r="C13" i="7"/>
  <c r="S18" i="6"/>
  <c r="S16" i="6"/>
  <c r="S17" i="6"/>
  <c r="S15" i="6"/>
  <c r="C13" i="6"/>
  <c r="C9" i="3" l="1"/>
  <c r="H15" i="2" l="1"/>
  <c r="H14" i="2"/>
  <c r="L8" i="2"/>
  <c r="K8" i="2"/>
  <c r="I8" i="2"/>
  <c r="D8" i="2"/>
  <c r="H12" i="2"/>
  <c r="H11" i="2"/>
  <c r="M10" i="2"/>
  <c r="H10" i="2"/>
  <c r="D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<sst xmlns="http://schemas.openxmlformats.org/spreadsheetml/2006/main" count="259" uniqueCount="186">
  <si>
    <t>CO2 transport setup</t>
  </si>
  <si>
    <t>PathInfo</t>
  </si>
  <si>
    <t>PathNo</t>
  </si>
  <si>
    <t>PathType</t>
  </si>
  <si>
    <t>Datafiles</t>
  </si>
  <si>
    <t>Path</t>
  </si>
  <si>
    <t xml:space="preserve">Path file: </t>
  </si>
  <si>
    <t>SetupFiles</t>
  </si>
  <si>
    <t>FileNo</t>
  </si>
  <si>
    <t>Description</t>
  </si>
  <si>
    <t>FileName</t>
  </si>
  <si>
    <t>Aqueous species:</t>
  </si>
  <si>
    <t>AqSpecies.dat</t>
  </si>
  <si>
    <t>Aqueous species</t>
  </si>
  <si>
    <t>No</t>
  </si>
  <si>
    <t>Name</t>
  </si>
  <si>
    <t>Index</t>
  </si>
  <si>
    <t>Charge</t>
  </si>
  <si>
    <t>Mw</t>
  </si>
  <si>
    <t>Feed</t>
  </si>
  <si>
    <t>InPitzer</t>
  </si>
  <si>
    <t>Input order</t>
  </si>
  <si>
    <t>Input Name</t>
  </si>
  <si>
    <t>Fortran</t>
  </si>
  <si>
    <t>H2O</t>
  </si>
  <si>
    <t>H+</t>
  </si>
  <si>
    <t>H</t>
  </si>
  <si>
    <t>OH-</t>
  </si>
  <si>
    <t>OH</t>
  </si>
  <si>
    <t>O</t>
  </si>
  <si>
    <t>C</t>
  </si>
  <si>
    <t>S</t>
  </si>
  <si>
    <t>C:\Users\baard\Dropbox\Scale Consult\Projects\2024\SC2420 Equinor CO2 transport model\09 Datafiles\</t>
  </si>
  <si>
    <t>HSO4-</t>
  </si>
  <si>
    <t>SO42-</t>
  </si>
  <si>
    <t>HSO4</t>
  </si>
  <si>
    <t>SO4</t>
  </si>
  <si>
    <t>Specie volume for calculation of water density</t>
  </si>
  <si>
    <t>Data for pure water solvent - used for Pitzer model</t>
  </si>
  <si>
    <t>Aqueos volumes:</t>
  </si>
  <si>
    <t>Vols.dat</t>
  </si>
  <si>
    <t>Water data:</t>
  </si>
  <si>
    <t>Waterdata.dat</t>
  </si>
  <si>
    <t>a1</t>
  </si>
  <si>
    <t>a2</t>
  </si>
  <si>
    <t>a3</t>
  </si>
  <si>
    <t>a4</t>
  </si>
  <si>
    <t>w</t>
  </si>
  <si>
    <t>å</t>
  </si>
  <si>
    <t>b1</t>
  </si>
  <si>
    <t>b2</t>
  </si>
  <si>
    <t>b3</t>
  </si>
  <si>
    <t>b4</t>
  </si>
  <si>
    <t>Z</t>
  </si>
  <si>
    <t>Water density</t>
  </si>
  <si>
    <t>Rho 0</t>
  </si>
  <si>
    <t>a5</t>
  </si>
  <si>
    <t>a6</t>
  </si>
  <si>
    <t>a7</t>
  </si>
  <si>
    <t>a8</t>
  </si>
  <si>
    <t>a9</t>
  </si>
  <si>
    <t>a10</t>
  </si>
  <si>
    <t>Vapour pressure</t>
  </si>
  <si>
    <t>K1</t>
  </si>
  <si>
    <t>K2</t>
  </si>
  <si>
    <t>K3</t>
  </si>
  <si>
    <t>K4</t>
  </si>
  <si>
    <t>K5</t>
  </si>
  <si>
    <t>K6</t>
  </si>
  <si>
    <t>RefFug</t>
  </si>
  <si>
    <t>Equilibrium constant</t>
  </si>
  <si>
    <t>EqNo</t>
  </si>
  <si>
    <t>Ranges</t>
  </si>
  <si>
    <t>From</t>
  </si>
  <si>
    <t>To</t>
  </si>
  <si>
    <t>K7</t>
  </si>
  <si>
    <t>K8</t>
  </si>
  <si>
    <t>Eqtype</t>
  </si>
  <si>
    <t>Kw</t>
  </si>
  <si>
    <t>ScaleSim thermo</t>
  </si>
  <si>
    <t>ScaleSim polynom Kelvin</t>
  </si>
  <si>
    <t>ScaleSim polynom Celcius</t>
  </si>
  <si>
    <t>Møller 88</t>
  </si>
  <si>
    <t>ln polynom og tc</t>
  </si>
  <si>
    <t>Christov</t>
  </si>
  <si>
    <t>Therm data:</t>
  </si>
  <si>
    <t>Eq_therm.dat</t>
  </si>
  <si>
    <t>K1H2SO4</t>
  </si>
  <si>
    <t>K2H2SO4</t>
  </si>
  <si>
    <t>Variable name</t>
  </si>
  <si>
    <t>KHNO3</t>
  </si>
  <si>
    <t>a</t>
  </si>
  <si>
    <t>b</t>
  </si>
  <si>
    <t>c</t>
  </si>
  <si>
    <t>d</t>
  </si>
  <si>
    <t>e</t>
  </si>
  <si>
    <t>f</t>
  </si>
  <si>
    <t>EqType</t>
  </si>
  <si>
    <t>D</t>
  </si>
  <si>
    <t>E</t>
  </si>
  <si>
    <t>No P effect</t>
  </si>
  <si>
    <t>Same as for lnK</t>
  </si>
  <si>
    <t>Baards equation</t>
  </si>
  <si>
    <t>Appelo</t>
  </si>
  <si>
    <t>Duan dV and dK eq</t>
  </si>
  <si>
    <t>Volume change</t>
  </si>
  <si>
    <t>Compressibility</t>
  </si>
  <si>
    <t>Salinity</t>
  </si>
  <si>
    <t>RxType</t>
  </si>
  <si>
    <t>Aqueous equilibria</t>
  </si>
  <si>
    <t>Solubility product</t>
  </si>
  <si>
    <t>Henrys law</t>
  </si>
  <si>
    <t>Species</t>
  </si>
  <si>
    <t>H2SO4</t>
  </si>
  <si>
    <t>NO3-</t>
  </si>
  <si>
    <t>NO3</t>
  </si>
  <si>
    <t>N</t>
  </si>
  <si>
    <t>HNO3</t>
  </si>
  <si>
    <t>Eq_Data:</t>
  </si>
  <si>
    <t>Salt</t>
  </si>
  <si>
    <t>Equilibria.dat</t>
  </si>
  <si>
    <t>KH_H2SO4</t>
  </si>
  <si>
    <t>KH_HNO3</t>
  </si>
  <si>
    <t>Specie</t>
  </si>
  <si>
    <t>Gas Solubility</t>
  </si>
  <si>
    <t>GasSolub.dat</t>
  </si>
  <si>
    <t>Gas-water solubility species</t>
  </si>
  <si>
    <t>Gas phase species</t>
  </si>
  <si>
    <t>CO2</t>
  </si>
  <si>
    <t>N2</t>
  </si>
  <si>
    <t>O2</t>
  </si>
  <si>
    <t>H2S</t>
  </si>
  <si>
    <t>NO</t>
  </si>
  <si>
    <t>NO2</t>
  </si>
  <si>
    <t>SO2</t>
  </si>
  <si>
    <t>S8</t>
  </si>
  <si>
    <t>Gas_Index</t>
  </si>
  <si>
    <t>EOS parameters</t>
  </si>
  <si>
    <t>Mw (g/mole)</t>
  </si>
  <si>
    <t>Tkrit [K]</t>
  </si>
  <si>
    <t>Pkrit [bar]</t>
  </si>
  <si>
    <t>Acentric factor</t>
  </si>
  <si>
    <t>Pen</t>
  </si>
  <si>
    <t>DfH (kJ/mole)</t>
  </si>
  <si>
    <t>DfS (J/moleK)</t>
  </si>
  <si>
    <t>GasThermo.dat</t>
  </si>
  <si>
    <t>Gas Thermo:</t>
  </si>
  <si>
    <t>GasComps:</t>
  </si>
  <si>
    <t>EOS input</t>
  </si>
  <si>
    <t>EOSData.dat</t>
  </si>
  <si>
    <t>EOS BIN</t>
  </si>
  <si>
    <t>EOSBin.dat</t>
  </si>
  <si>
    <t>Gas phase reactions</t>
  </si>
  <si>
    <t>Reactions:</t>
  </si>
  <si>
    <t>Descritpion</t>
  </si>
  <si>
    <t>Ncomp</t>
  </si>
  <si>
    <t>NO2 + SO2 + H2O = NO + H2SO4</t>
  </si>
  <si>
    <t>2NO + O2 = 2NO2</t>
  </si>
  <si>
    <t>H2S + 3NO2 = SO2 + H2O + 3NO</t>
  </si>
  <si>
    <t>8H2S + 4O2 = 8H2O + S8</t>
  </si>
  <si>
    <t>Gas reaction definition</t>
  </si>
  <si>
    <t>GasRx.dat</t>
  </si>
  <si>
    <t>3NO2 + H2O = 2HNO3 + NO</t>
  </si>
  <si>
    <t>AqSpecies</t>
  </si>
  <si>
    <t>Vol</t>
  </si>
  <si>
    <t>Solventdata</t>
  </si>
  <si>
    <t>GasData</t>
  </si>
  <si>
    <t>SaveAqSpecies</t>
  </si>
  <si>
    <t>SaveVolData</t>
  </si>
  <si>
    <t>SaveWaterData</t>
  </si>
  <si>
    <t>SaveEqThermTandPData</t>
  </si>
  <si>
    <t>Eq_T</t>
  </si>
  <si>
    <t>SaveEquilibra</t>
  </si>
  <si>
    <t>Equilibra</t>
  </si>
  <si>
    <t>SaveGasSolub</t>
  </si>
  <si>
    <t>GasSolub</t>
  </si>
  <si>
    <t>SaveGasThermo</t>
  </si>
  <si>
    <t>SaveEOSInput</t>
  </si>
  <si>
    <t>EOS_Input</t>
  </si>
  <si>
    <t>SaveBIN</t>
  </si>
  <si>
    <t>SaveGasRx</t>
  </si>
  <si>
    <t>GasRx</t>
  </si>
  <si>
    <t>SheetName</t>
  </si>
  <si>
    <t>ProcedureName</t>
  </si>
  <si>
    <t>Save</t>
  </si>
  <si>
    <t>C:\Users\baard\Dropbox\Scale Consult\Projects\2024\SC2420 Equinor CO2 transport model\08 Model\PathInfo.inp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</si>
</sst>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b/>
      <sz val="10"/>
      <name val="Arial"/>
      <family val="2"/>
    </font>
    <font>
      <b/>
      <sz val="36"/>
      <color theme="8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1"/>
      <color rgb="FF0066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3" xfId="0" applyFill="1" applyBorder="1"/>
    <xf numFmtId="0" fontId="1" fillId="3" borderId="2" xfId="0" applyFont="1" applyFill="1" applyBorder="1"/>
    <xf numFmtId="0" fontId="2" fillId="2" borderId="0" xfId="0" applyFont="1" applyFill="1"/>
    <xf numFmtId="0" fontId="3" fillId="2" borderId="0" xfId="0" applyFont="1" applyFill="1"/>
    <xf numFmtId="0" fontId="0" fillId="0" borderId="1" xfId="0" applyBorder="1"/>
    <xf numFmtId="0" fontId="1" fillId="2" borderId="0" xfId="0" applyFont="1" applyFill="1" applyAlignment="1">
      <alignment horizontal="right"/>
    </xf>
    <xf numFmtId="0" fontId="0" fillId="2" borderId="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4" borderId="0" xfId="0" applyFill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164" fontId="6" fillId="4" borderId="0" xfId="0" applyNumberFormat="1" applyFont="1" applyFill="1"/>
    <xf numFmtId="0" fontId="5" fillId="2" borderId="0" xfId="0" applyFont="1" applyFill="1" applyAlignment="1">
      <alignment horizontal="center"/>
    </xf>
    <xf numFmtId="0" fontId="0" fillId="3" borderId="2" xfId="0" applyFill="1" applyBorder="1"/>
    <xf numFmtId="165" fontId="0" fillId="2" borderId="0" xfId="0" applyNumberFormat="1" applyFill="1"/>
    <xf numFmtId="0" fontId="0" fillId="2" borderId="4" xfId="0" applyFill="1" applyBorder="1"/>
    <xf numFmtId="165" fontId="0" fillId="2" borderId="4" xfId="0" applyNumberFormat="1" applyFill="1" applyBorder="1"/>
    <xf numFmtId="11" fontId="0" fillId="2" borderId="0" xfId="0" applyNumberFormat="1" applyFill="1"/>
    <xf numFmtId="11" fontId="0" fillId="2" borderId="4" xfId="0" applyNumberFormat="1" applyFill="1" applyBorder="1"/>
    <xf numFmtId="0" fontId="0" fillId="2" borderId="0" xfId="0" applyFill="1" applyProtection="1">
      <protection locked="0"/>
    </xf>
    <xf numFmtId="0" fontId="1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9" fillId="3" borderId="2" xfId="0" applyFont="1" applyFill="1" applyBorder="1" applyAlignment="1" applyProtection="1">
      <alignment horizontal="center"/>
      <protection locked="0"/>
    </xf>
    <xf numFmtId="11" fontId="0" fillId="2" borderId="0" xfId="0" applyNumberFormat="1" applyFill="1" applyAlignment="1" applyProtection="1">
      <alignment horizontal="center"/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0" fontId="1" fillId="5" borderId="2" xfId="0" applyFont="1" applyFill="1" applyBorder="1" applyAlignment="1" applyProtection="1">
      <alignment horizontal="center"/>
      <protection locked="0"/>
    </xf>
    <xf numFmtId="0" fontId="1" fillId="2" borderId="0" xfId="0" applyFont="1" applyFill="1"/>
    <xf numFmtId="0" fontId="1" fillId="6" borderId="2" xfId="0" applyFont="1" applyFill="1" applyBorder="1" applyAlignment="1" applyProtection="1">
      <alignment horizontal="center"/>
      <protection locked="0"/>
    </xf>
    <xf numFmtId="0" fontId="1" fillId="7" borderId="2" xfId="0" applyFont="1" applyFill="1" applyBorder="1" applyAlignment="1" applyProtection="1">
      <alignment horizontal="center"/>
      <protection locked="0"/>
    </xf>
    <xf numFmtId="0" fontId="1" fillId="8" borderId="2" xfId="0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/>
    <xf numFmtId="0" fontId="1" fillId="8" borderId="2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1" fillId="2" borderId="0" xfId="0" applyFont="1" applyFill="1"/>
    <xf numFmtId="0" fontId="12" fillId="2" borderId="0" xfId="0" applyFont="1" applyFill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12"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color rgb="FFC00000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85725</xdr:rowOff>
        </xdr:from>
        <xdr:to>
          <xdr:col>4</xdr:col>
          <xdr:colOff>1409700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Path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1304925</xdr:colOff>
          <xdr:row>19</xdr:row>
          <xdr:rowOff>123825</xdr:rowOff>
        </xdr:from>
        <xdr:to>
          <xdr:col>4</xdr:col>
          <xdr:colOff>1400175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Aq Species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3</xdr:row>
          <xdr:rowOff>114300</xdr:rowOff>
        </xdr:from>
        <xdr:to>
          <xdr:col>9</xdr:col>
          <xdr:colOff>447675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Vol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</xdr:row>
          <xdr:rowOff>85725</xdr:rowOff>
        </xdr:from>
        <xdr:to>
          <xdr:col>6</xdr:col>
          <xdr:colOff>781050</xdr:colOff>
          <xdr:row>5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SaveWaterData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</xdr:row>
          <xdr:rowOff>0</xdr:rowOff>
        </xdr:from>
        <xdr:to>
          <xdr:col>5</xdr:col>
          <xdr:colOff>504825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Gas species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1543050</xdr:colOff>
          <xdr:row>3</xdr:row>
          <xdr:rowOff>85725</xdr:rowOff>
        </xdr:from>
        <xdr:to>
          <xdr:col>5</xdr:col>
          <xdr:colOff>581025</xdr:colOff>
          <xdr:row>5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Rx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466725</xdr:rowOff>
        </xdr:from>
        <xdr:to>
          <xdr:col>10</xdr:col>
          <xdr:colOff>9525</xdr:colOff>
          <xdr:row>3</xdr:row>
          <xdr:rowOff>95250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EOS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</xdr:row>
          <xdr:rowOff>409575</xdr:rowOff>
        </xdr:from>
        <xdr:to>
          <xdr:col>14</xdr:col>
          <xdr:colOff>228600</xdr:colOff>
          <xdr:row>3</xdr:row>
          <xdr:rowOff>38100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B56A1882-6D15-B926-7F46-0F0AD5658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BIN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8</xdr:row>
          <xdr:rowOff>95250</xdr:rowOff>
        </xdr:from>
        <xdr:to>
          <xdr:col>10</xdr:col>
          <xdr:colOff>276225</xdr:colOff>
          <xdr:row>10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EQ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4</xdr:col>
          <xdr:colOff>428625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GasSolub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Eq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Eq_P Data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B2:H39"/>
  <sheetViews>
    <sheetView tabSelected="1" workbookViewId="0">
      <selection activeCell="E8" sqref="E8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3" width="12.140625" style="1" customWidth="1"/>
    <col min="4" max="4" width="23.85546875" style="1" customWidth="1"/>
    <col min="5" max="5" width="103.42578125" style="1" customWidth="1"/>
    <col min="6" max="6" width="9.140625" style="1"/>
    <col min="7" max="7" width="17" style="1" customWidth="1"/>
    <col min="8" max="8" width="17.7109375" style="1" customWidth="1"/>
    <col min="9" max="16384" width="9.140625" style="1"/>
  </cols>
  <sheetData>
    <row r="2" spans="2:5" ht="23.25" x14ac:dyDescent="0.35">
      <c r="B2" s="8" t="s">
        <v>0</v>
      </c>
    </row>
    <row r="4" spans="2:5" x14ac:dyDescent="0.25">
      <c r="D4" s="10" t="s">
        <v>6</v>
      </c>
      <c r="E4" s="9" t="s">
        <v>185</v>
      </c>
    </row>
    <row r="10" spans="2:5" ht="15.75" x14ac:dyDescent="0.25">
      <c r="C10" s="7" t="s">
        <v>1</v>
      </c>
      <c r="D10" s="14">
        <f>COUNTA(C12:C18)</f>
        <v>1</v>
      </c>
    </row>
    <row r="11" spans="2:5" ht="15.75" thickBot="1" x14ac:dyDescent="0.3">
      <c r="C11" s="6" t="s">
        <v>2</v>
      </c>
      <c r="D11" s="6" t="s">
        <v>3</v>
      </c>
      <c r="E11" s="6" t="s">
        <v>5</v>
      </c>
    </row>
    <row r="12" spans="2:5" x14ac:dyDescent="0.25">
      <c r="C12" s="4">
        <v>1</v>
      </c>
      <c r="D12" s="4" t="s">
        <v>4</v>
      </c>
      <c r="E12" s="5" t="s">
        <v>32</v>
      </c>
    </row>
    <row r="13" spans="2:5" x14ac:dyDescent="0.25">
      <c r="C13" s="3"/>
      <c r="D13" s="3"/>
      <c r="E13" s="2"/>
    </row>
    <row r="14" spans="2:5" x14ac:dyDescent="0.25">
      <c r="C14" s="3"/>
      <c r="D14" s="3"/>
      <c r="E14" s="2"/>
    </row>
    <row r="15" spans="2:5" x14ac:dyDescent="0.25">
      <c r="C15" s="3"/>
      <c r="D15" s="3"/>
      <c r="E15" s="2"/>
    </row>
    <row r="16" spans="2:5" x14ac:dyDescent="0.25">
      <c r="C16" s="3"/>
      <c r="D16" s="3"/>
      <c r="E16" s="2"/>
    </row>
    <row r="17" spans="3:8" x14ac:dyDescent="0.25">
      <c r="C17" s="3"/>
      <c r="D17" s="3"/>
      <c r="E17" s="2"/>
    </row>
    <row r="18" spans="3:8" x14ac:dyDescent="0.25">
      <c r="C18" s="3"/>
      <c r="D18" s="3"/>
      <c r="E18" s="2"/>
    </row>
    <row r="23" spans="3:8" ht="15.75" x14ac:dyDescent="0.25">
      <c r="C23" s="7" t="s">
        <v>7</v>
      </c>
      <c r="D23" s="14">
        <f>COUNTA(C25:C39)</f>
        <v>10</v>
      </c>
    </row>
    <row r="24" spans="3:8" ht="15.75" thickBot="1" x14ac:dyDescent="0.3">
      <c r="C24" s="6" t="s">
        <v>8</v>
      </c>
      <c r="D24" s="6" t="s">
        <v>9</v>
      </c>
      <c r="E24" s="6" t="s">
        <v>10</v>
      </c>
      <c r="F24" s="6" t="s">
        <v>184</v>
      </c>
      <c r="G24" s="6" t="s">
        <v>182</v>
      </c>
      <c r="H24" s="6" t="s">
        <v>183</v>
      </c>
    </row>
    <row r="25" spans="3:8" x14ac:dyDescent="0.25">
      <c r="C25" s="4">
        <v>1</v>
      </c>
      <c r="D25" s="11" t="s">
        <v>11</v>
      </c>
      <c r="E25" s="5" t="s">
        <v>12</v>
      </c>
      <c r="F25" s="53" t="b">
        <v>1</v>
      </c>
      <c r="G25" s="1" t="s">
        <v>163</v>
      </c>
      <c r="H25" s="1" t="s">
        <v>167</v>
      </c>
    </row>
    <row r="26" spans="3:8" x14ac:dyDescent="0.25">
      <c r="C26" s="3">
        <v>2</v>
      </c>
      <c r="D26" s="12" t="s">
        <v>39</v>
      </c>
      <c r="E26" s="2" t="s">
        <v>40</v>
      </c>
      <c r="F26" s="53" t="b">
        <v>1</v>
      </c>
      <c r="G26" s="1" t="s">
        <v>164</v>
      </c>
      <c r="H26" s="1" t="s">
        <v>168</v>
      </c>
    </row>
    <row r="27" spans="3:8" x14ac:dyDescent="0.25">
      <c r="C27" s="3">
        <v>3</v>
      </c>
      <c r="D27" s="12" t="s">
        <v>41</v>
      </c>
      <c r="E27" s="2" t="s">
        <v>42</v>
      </c>
      <c r="F27" s="53" t="b">
        <v>1</v>
      </c>
      <c r="G27" s="1" t="s">
        <v>165</v>
      </c>
      <c r="H27" s="1" t="s">
        <v>169</v>
      </c>
    </row>
    <row r="28" spans="3:8" x14ac:dyDescent="0.25">
      <c r="C28" s="3">
        <v>4</v>
      </c>
      <c r="D28" s="12" t="s">
        <v>85</v>
      </c>
      <c r="E28" s="2" t="s">
        <v>86</v>
      </c>
      <c r="F28" s="53" t="b">
        <v>1</v>
      </c>
      <c r="G28" s="1" t="s">
        <v>171</v>
      </c>
      <c r="H28" s="1" t="s">
        <v>170</v>
      </c>
    </row>
    <row r="29" spans="3:8" x14ac:dyDescent="0.25">
      <c r="C29" s="3">
        <v>5</v>
      </c>
      <c r="D29" s="12" t="s">
        <v>118</v>
      </c>
      <c r="E29" s="2" t="s">
        <v>120</v>
      </c>
      <c r="F29" s="53" t="b">
        <v>1</v>
      </c>
      <c r="G29" s="1" t="s">
        <v>173</v>
      </c>
      <c r="H29" s="1" t="s">
        <v>172</v>
      </c>
    </row>
    <row r="30" spans="3:8" x14ac:dyDescent="0.25">
      <c r="C30" s="3">
        <v>6</v>
      </c>
      <c r="D30" s="12" t="s">
        <v>124</v>
      </c>
      <c r="E30" s="2" t="s">
        <v>125</v>
      </c>
      <c r="F30" s="53" t="b">
        <v>1</v>
      </c>
      <c r="G30" s="1" t="s">
        <v>175</v>
      </c>
      <c r="H30" s="1" t="s">
        <v>174</v>
      </c>
    </row>
    <row r="31" spans="3:8" x14ac:dyDescent="0.25">
      <c r="C31" s="3">
        <v>7</v>
      </c>
      <c r="D31" s="12" t="s">
        <v>146</v>
      </c>
      <c r="E31" s="2" t="s">
        <v>145</v>
      </c>
      <c r="F31" s="53" t="b">
        <v>1</v>
      </c>
      <c r="G31" s="1" t="s">
        <v>166</v>
      </c>
      <c r="H31" s="1" t="s">
        <v>176</v>
      </c>
    </row>
    <row r="32" spans="3:8" x14ac:dyDescent="0.25">
      <c r="C32" s="3">
        <v>8</v>
      </c>
      <c r="D32" s="12" t="s">
        <v>148</v>
      </c>
      <c r="E32" s="2" t="s">
        <v>149</v>
      </c>
      <c r="F32" s="53" t="b">
        <v>1</v>
      </c>
      <c r="G32" s="1" t="s">
        <v>178</v>
      </c>
      <c r="H32" s="1" t="s">
        <v>177</v>
      </c>
    </row>
    <row r="33" spans="3:8" x14ac:dyDescent="0.25">
      <c r="C33" s="3">
        <v>9</v>
      </c>
      <c r="D33" s="12" t="s">
        <v>150</v>
      </c>
      <c r="E33" s="2" t="s">
        <v>151</v>
      </c>
      <c r="F33" s="53" t="b">
        <v>1</v>
      </c>
      <c r="G33" s="1" t="s">
        <v>178</v>
      </c>
      <c r="H33" s="1" t="s">
        <v>179</v>
      </c>
    </row>
    <row r="34" spans="3:8" x14ac:dyDescent="0.25">
      <c r="C34" s="3">
        <v>10</v>
      </c>
      <c r="D34" s="12" t="s">
        <v>160</v>
      </c>
      <c r="E34" s="2" t="s">
        <v>161</v>
      </c>
      <c r="F34" s="53" t="b">
        <v>1</v>
      </c>
      <c r="G34" s="1" t="s">
        <v>181</v>
      </c>
      <c r="H34" s="1" t="s">
        <v>180</v>
      </c>
    </row>
    <row r="35" spans="3:8" x14ac:dyDescent="0.25">
      <c r="C35" s="3"/>
      <c r="D35" s="12"/>
      <c r="E35" s="2"/>
      <c r="F35" s="53" t="b">
        <v>0</v>
      </c>
    </row>
    <row r="36" spans="3:8" x14ac:dyDescent="0.25">
      <c r="C36" s="3"/>
      <c r="D36" s="12"/>
      <c r="E36" s="2"/>
      <c r="F36" s="53" t="b">
        <v>0</v>
      </c>
    </row>
    <row r="37" spans="3:8" x14ac:dyDescent="0.25">
      <c r="C37" s="3"/>
      <c r="D37" s="12"/>
      <c r="E37" s="2"/>
      <c r="F37" s="53" t="b">
        <v>0</v>
      </c>
    </row>
    <row r="38" spans="3:8" x14ac:dyDescent="0.25">
      <c r="C38" s="3"/>
      <c r="D38" s="12"/>
      <c r="E38" s="2"/>
      <c r="F38" s="53" t="b">
        <v>0</v>
      </c>
    </row>
    <row r="39" spans="3:8" x14ac:dyDescent="0.25">
      <c r="C39" s="3"/>
      <c r="D39" s="12"/>
      <c r="E39" s="2"/>
      <c r="F39" s="53" t="b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01.CreatPathFile">
                <anchor moveWithCells="1" sizeWithCells="1">
                  <from>
                    <xdr:col>4</xdr:col>
                    <xdr:colOff>9525</xdr:colOff>
                    <xdr:row>4</xdr:row>
                    <xdr:rowOff>85725</xdr:rowOff>
                  </from>
                  <to>
                    <xdr:col>4</xdr:col>
                    <xdr:colOff>1409700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01.SaveAll">
                <anchor moveWithCells="1" sizeWithCells="1">
                  <from>
                    <xdr:col>3</xdr:col>
                    <xdr:colOff>1304925</xdr:colOff>
                    <xdr:row>19</xdr:row>
                    <xdr:rowOff>123825</xdr:rowOff>
                  </from>
                  <to>
                    <xdr:col>4</xdr:col>
                    <xdr:colOff>1400175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D3DE4-6485-42D9-AF9A-51ED799093B6}">
  <sheetPr codeName="Sheet02"/>
  <dimension ref="B2:V35"/>
  <sheetViews>
    <sheetView workbookViewId="0">
      <selection activeCell="E17" sqref="E17"/>
    </sheetView>
  </sheetViews>
  <sheetFormatPr defaultColWidth="9.140625" defaultRowHeight="15" x14ac:dyDescent="0.25"/>
  <cols>
    <col min="1" max="1" width="3.5703125" style="1" customWidth="1"/>
    <col min="2" max="10" width="9.140625" style="1"/>
    <col min="11" max="11" width="16.42578125" style="1" customWidth="1"/>
    <col min="12" max="12" width="17.140625" style="1" customWidth="1"/>
    <col min="13" max="13" width="35.5703125" style="1" customWidth="1"/>
    <col min="14" max="16384" width="9.140625" style="1"/>
  </cols>
  <sheetData>
    <row r="2" spans="2:22" ht="23.25" x14ac:dyDescent="0.35">
      <c r="B2" s="8" t="s">
        <v>13</v>
      </c>
      <c r="C2" s="8"/>
    </row>
    <row r="3" spans="2:22" x14ac:dyDescent="0.25">
      <c r="U3" s="15" t="s">
        <v>29</v>
      </c>
      <c r="V3" s="18">
        <v>16</v>
      </c>
    </row>
    <row r="4" spans="2:22" x14ac:dyDescent="0.25">
      <c r="U4" s="15" t="s">
        <v>30</v>
      </c>
      <c r="V4" s="18">
        <v>12.01</v>
      </c>
    </row>
    <row r="5" spans="2:22" x14ac:dyDescent="0.25">
      <c r="U5" s="15" t="s">
        <v>26</v>
      </c>
      <c r="V5" s="18">
        <v>1.008</v>
      </c>
    </row>
    <row r="6" spans="2:22" x14ac:dyDescent="0.25">
      <c r="U6" s="15" t="s">
        <v>31</v>
      </c>
      <c r="V6" s="18">
        <v>32.07</v>
      </c>
    </row>
    <row r="7" spans="2:22" x14ac:dyDescent="0.25">
      <c r="U7" s="1" t="s">
        <v>116</v>
      </c>
      <c r="V7" s="1">
        <v>14.01</v>
      </c>
    </row>
    <row r="8" spans="2:22" x14ac:dyDescent="0.25">
      <c r="D8" s="13">
        <f>COUNTA(D10:D198)</f>
        <v>8</v>
      </c>
      <c r="E8" s="13"/>
      <c r="F8" s="13"/>
      <c r="G8" s="13"/>
      <c r="H8" s="13"/>
      <c r="I8" s="13">
        <f>SUM(I10:I338)</f>
        <v>2</v>
      </c>
      <c r="J8" s="13"/>
      <c r="K8" s="13">
        <f>COUNTA(K10:K198)</f>
        <v>0</v>
      </c>
      <c r="L8" s="13">
        <f>COUNTA(L10:L198)</f>
        <v>0</v>
      </c>
    </row>
    <row r="9" spans="2:22" ht="15.75" thickBot="1" x14ac:dyDescent="0.3">
      <c r="D9" s="16" t="s">
        <v>14</v>
      </c>
      <c r="E9" s="16" t="s">
        <v>15</v>
      </c>
      <c r="F9" s="16" t="s">
        <v>16</v>
      </c>
      <c r="G9" s="16" t="s">
        <v>17</v>
      </c>
      <c r="H9" s="16" t="s">
        <v>18</v>
      </c>
      <c r="I9" s="16" t="s">
        <v>19</v>
      </c>
      <c r="J9" s="16" t="s">
        <v>20</v>
      </c>
      <c r="K9" s="16" t="s">
        <v>21</v>
      </c>
      <c r="L9" s="16" t="s">
        <v>22</v>
      </c>
      <c r="M9" s="17" t="s">
        <v>23</v>
      </c>
    </row>
    <row r="10" spans="2:22" x14ac:dyDescent="0.25">
      <c r="D10" s="13">
        <v>1</v>
      </c>
      <c r="E10" s="13" t="s">
        <v>24</v>
      </c>
      <c r="F10" s="13" t="s">
        <v>24</v>
      </c>
      <c r="G10" s="13">
        <v>0</v>
      </c>
      <c r="H10" s="19">
        <f>Mw_O+2*Mw_H</f>
        <v>18.015999999999998</v>
      </c>
      <c r="I10" s="13">
        <v>0</v>
      </c>
      <c r="J10" s="13">
        <v>0</v>
      </c>
      <c r="K10" s="13"/>
      <c r="L10" s="13"/>
      <c r="M10" s="1" t="str">
        <f>"Integer, Parameter :: iAq_"&amp;F10&amp;"="&amp;D10</f>
        <v>Integer, Parameter :: iAq_H2O=1</v>
      </c>
    </row>
    <row r="11" spans="2:22" x14ac:dyDescent="0.25">
      <c r="D11" s="13">
        <v>2</v>
      </c>
      <c r="E11" s="13" t="s">
        <v>25</v>
      </c>
      <c r="F11" s="13" t="s">
        <v>26</v>
      </c>
      <c r="G11" s="13">
        <v>1</v>
      </c>
      <c r="H11" s="19">
        <f>Mw_H</f>
        <v>1.008</v>
      </c>
      <c r="I11" s="13">
        <v>0</v>
      </c>
      <c r="J11" s="13">
        <v>1</v>
      </c>
      <c r="K11" s="13"/>
      <c r="L11" s="13"/>
      <c r="M11" s="1" t="str">
        <f t="shared" ref="M11:M17" si="0">"Integer, Parameter :: iAq_"&amp;F11&amp;"="&amp;D11</f>
        <v>Integer, Parameter :: iAq_H=2</v>
      </c>
    </row>
    <row r="12" spans="2:22" x14ac:dyDescent="0.25">
      <c r="D12" s="13">
        <v>3</v>
      </c>
      <c r="E12" s="13" t="s">
        <v>27</v>
      </c>
      <c r="F12" s="13" t="s">
        <v>28</v>
      </c>
      <c r="G12" s="13">
        <v>-1</v>
      </c>
      <c r="H12" s="19">
        <f>Mw_O+Mw_H</f>
        <v>17.007999999999999</v>
      </c>
      <c r="I12" s="13">
        <v>0</v>
      </c>
      <c r="J12" s="13">
        <v>1</v>
      </c>
      <c r="K12" s="13"/>
      <c r="L12" s="13"/>
      <c r="M12" s="1" t="str">
        <f t="shared" si="0"/>
        <v>Integer, Parameter :: iAq_OH=3</v>
      </c>
    </row>
    <row r="13" spans="2:22" x14ac:dyDescent="0.25">
      <c r="D13" s="13">
        <v>4</v>
      </c>
      <c r="E13" s="13" t="s">
        <v>113</v>
      </c>
      <c r="F13" s="13" t="s">
        <v>113</v>
      </c>
      <c r="G13" s="13">
        <v>0</v>
      </c>
      <c r="H13" s="13">
        <f>2*Mw_H+Mw_S+4*Mw_O</f>
        <v>98.085999999999999</v>
      </c>
      <c r="I13" s="13">
        <v>1</v>
      </c>
      <c r="J13" s="13">
        <v>1</v>
      </c>
      <c r="K13" s="13"/>
      <c r="L13" s="13"/>
      <c r="M13" s="1" t="str">
        <f t="shared" si="0"/>
        <v>Integer, Parameter :: iAq_H2SO4=4</v>
      </c>
    </row>
    <row r="14" spans="2:22" x14ac:dyDescent="0.25">
      <c r="D14" s="13">
        <v>5</v>
      </c>
      <c r="E14" s="13" t="s">
        <v>33</v>
      </c>
      <c r="F14" s="13" t="s">
        <v>35</v>
      </c>
      <c r="G14" s="13">
        <v>-1</v>
      </c>
      <c r="H14" s="19">
        <f>Mw_H+Mw_S+4*Mw_O</f>
        <v>97.078000000000003</v>
      </c>
      <c r="I14" s="13">
        <v>0</v>
      </c>
      <c r="J14" s="13">
        <v>1</v>
      </c>
      <c r="K14" s="13"/>
      <c r="L14" s="13"/>
      <c r="M14" s="1" t="str">
        <f t="shared" si="0"/>
        <v>Integer, Parameter :: iAq_HSO4=5</v>
      </c>
    </row>
    <row r="15" spans="2:22" x14ac:dyDescent="0.25">
      <c r="D15" s="13">
        <v>6</v>
      </c>
      <c r="E15" s="13" t="s">
        <v>34</v>
      </c>
      <c r="F15" s="13" t="s">
        <v>36</v>
      </c>
      <c r="G15" s="13">
        <v>-2</v>
      </c>
      <c r="H15" s="19">
        <f>Mw_S+4*Mw_O</f>
        <v>96.07</v>
      </c>
      <c r="I15" s="13">
        <v>0</v>
      </c>
      <c r="J15" s="13">
        <v>1</v>
      </c>
      <c r="K15" s="13"/>
      <c r="L15" s="13"/>
      <c r="M15" s="1" t="str">
        <f t="shared" si="0"/>
        <v>Integer, Parameter :: iAq_SO4=6</v>
      </c>
    </row>
    <row r="16" spans="2:22" x14ac:dyDescent="0.25">
      <c r="D16" s="13">
        <v>7</v>
      </c>
      <c r="E16" s="13" t="s">
        <v>117</v>
      </c>
      <c r="F16" s="13" t="s">
        <v>117</v>
      </c>
      <c r="G16" s="13">
        <v>0</v>
      </c>
      <c r="H16" s="13">
        <f>Mw_H+Mw_N+3*Mw_O</f>
        <v>63.018000000000001</v>
      </c>
      <c r="I16" s="13">
        <v>1</v>
      </c>
      <c r="J16" s="13">
        <v>1</v>
      </c>
      <c r="K16" s="13"/>
      <c r="L16" s="13"/>
      <c r="M16" s="1" t="str">
        <f t="shared" si="0"/>
        <v>Integer, Parameter :: iAq_HNO3=7</v>
      </c>
    </row>
    <row r="17" spans="4:13" x14ac:dyDescent="0.25">
      <c r="D17" s="13">
        <v>8</v>
      </c>
      <c r="E17" s="13" t="s">
        <v>114</v>
      </c>
      <c r="F17" s="13" t="s">
        <v>115</v>
      </c>
      <c r="G17" s="13">
        <v>-1</v>
      </c>
      <c r="H17" s="13">
        <f>Mw_N+3*Mw_C</f>
        <v>50.04</v>
      </c>
      <c r="I17" s="13">
        <v>0</v>
      </c>
      <c r="J17" s="13">
        <v>1</v>
      </c>
      <c r="K17" s="13"/>
      <c r="L17" s="13"/>
      <c r="M17" s="1" t="str">
        <f t="shared" si="0"/>
        <v>Integer, Parameter :: iAq_NO3=8</v>
      </c>
    </row>
    <row r="18" spans="4:13" x14ac:dyDescent="0.25">
      <c r="D18" s="13"/>
    </row>
    <row r="19" spans="4:13" x14ac:dyDescent="0.25">
      <c r="D19" s="13"/>
      <c r="E19" s="13"/>
      <c r="F19" s="13"/>
      <c r="G19" s="13"/>
      <c r="H19" s="13"/>
      <c r="I19" s="13"/>
      <c r="J19" s="13"/>
      <c r="K19" s="13"/>
      <c r="L19" s="13"/>
    </row>
    <row r="20" spans="4:13" x14ac:dyDescent="0.25">
      <c r="D20" s="13"/>
      <c r="E20" s="13"/>
      <c r="F20" s="13"/>
      <c r="G20" s="13"/>
      <c r="H20" s="13"/>
      <c r="I20" s="13"/>
      <c r="J20" s="13"/>
      <c r="K20" s="13"/>
      <c r="L20" s="13"/>
    </row>
    <row r="21" spans="4:13" x14ac:dyDescent="0.25">
      <c r="D21" s="13"/>
      <c r="E21" s="13"/>
      <c r="F21" s="13"/>
      <c r="G21" s="13"/>
      <c r="H21" s="13"/>
      <c r="I21" s="13"/>
      <c r="J21" s="13"/>
      <c r="K21" s="13"/>
      <c r="L21" s="13"/>
    </row>
    <row r="22" spans="4:13" x14ac:dyDescent="0.25">
      <c r="D22" s="13"/>
      <c r="E22" s="13"/>
      <c r="F22" s="13"/>
      <c r="G22" s="13"/>
      <c r="H22" s="13"/>
      <c r="I22" s="13"/>
      <c r="J22" s="13"/>
      <c r="K22" s="13"/>
      <c r="L22" s="13"/>
    </row>
    <row r="23" spans="4:13" x14ac:dyDescent="0.25">
      <c r="D23" s="13"/>
      <c r="E23" s="13"/>
      <c r="F23" s="13"/>
      <c r="G23" s="13"/>
      <c r="H23" s="13"/>
      <c r="I23" s="13"/>
      <c r="J23" s="13"/>
      <c r="K23" s="13"/>
      <c r="L23" s="13"/>
    </row>
    <row r="24" spans="4:13" x14ac:dyDescent="0.25">
      <c r="D24" s="13"/>
      <c r="E24" s="13"/>
      <c r="F24" s="13"/>
      <c r="G24" s="13"/>
      <c r="H24" s="13"/>
      <c r="I24" s="13"/>
      <c r="J24" s="13"/>
      <c r="K24" s="13"/>
      <c r="L24" s="13"/>
    </row>
    <row r="25" spans="4:13" x14ac:dyDescent="0.25">
      <c r="D25" s="13"/>
      <c r="E25" s="13"/>
      <c r="F25" s="13"/>
      <c r="G25" s="13"/>
      <c r="H25" s="13"/>
      <c r="I25" s="13"/>
      <c r="J25" s="13"/>
      <c r="K25" s="13"/>
      <c r="L25" s="13"/>
    </row>
    <row r="26" spans="4:13" x14ac:dyDescent="0.25">
      <c r="D26" s="13"/>
      <c r="E26" s="13"/>
      <c r="F26" s="13"/>
      <c r="G26" s="13"/>
      <c r="H26" s="13"/>
      <c r="I26" s="13"/>
      <c r="J26" s="13"/>
      <c r="K26" s="13"/>
      <c r="L26" s="13"/>
    </row>
    <row r="27" spans="4:13" x14ac:dyDescent="0.25">
      <c r="D27" s="13"/>
      <c r="E27" s="13"/>
      <c r="F27" s="13"/>
      <c r="G27" s="13"/>
      <c r="H27" s="13"/>
      <c r="I27" s="13"/>
      <c r="J27" s="13"/>
      <c r="K27" s="13"/>
      <c r="L27" s="13"/>
    </row>
    <row r="28" spans="4:13" x14ac:dyDescent="0.25">
      <c r="D28" s="13"/>
      <c r="E28" s="13"/>
      <c r="F28" s="13"/>
      <c r="G28" s="13"/>
      <c r="H28" s="13"/>
      <c r="I28" s="13"/>
      <c r="J28" s="13"/>
      <c r="K28" s="13"/>
      <c r="L28" s="13"/>
    </row>
    <row r="29" spans="4:13" x14ac:dyDescent="0.25">
      <c r="D29" s="13"/>
      <c r="E29" s="13"/>
      <c r="F29" s="13"/>
      <c r="G29" s="13"/>
      <c r="H29" s="13"/>
      <c r="I29" s="13"/>
      <c r="J29" s="13"/>
      <c r="K29" s="13"/>
      <c r="L29" s="13"/>
    </row>
    <row r="30" spans="4:13" x14ac:dyDescent="0.25">
      <c r="D30" s="13"/>
      <c r="E30" s="13"/>
      <c r="F30" s="13"/>
      <c r="G30" s="13"/>
      <c r="H30" s="13"/>
      <c r="I30" s="13"/>
      <c r="J30" s="13"/>
      <c r="K30" s="13"/>
      <c r="L30" s="13"/>
    </row>
    <row r="31" spans="4:13" x14ac:dyDescent="0.25">
      <c r="D31" s="13"/>
      <c r="E31" s="13"/>
      <c r="F31" s="13"/>
      <c r="G31" s="13"/>
      <c r="H31" s="13"/>
      <c r="I31" s="13"/>
      <c r="J31" s="13"/>
      <c r="K31" s="13"/>
      <c r="L31" s="13"/>
    </row>
    <row r="32" spans="4:13" x14ac:dyDescent="0.25">
      <c r="D32" s="13"/>
      <c r="E32" s="13"/>
      <c r="F32" s="13"/>
      <c r="G32" s="13"/>
      <c r="H32" s="13"/>
      <c r="I32" s="13"/>
      <c r="J32" s="13"/>
      <c r="K32" s="13"/>
      <c r="L32" s="13"/>
    </row>
    <row r="33" spans="4:12" x14ac:dyDescent="0.25">
      <c r="D33" s="13"/>
      <c r="E33" s="13"/>
      <c r="F33" s="13"/>
      <c r="G33" s="13"/>
      <c r="H33" s="13"/>
      <c r="I33" s="13"/>
      <c r="J33" s="13"/>
      <c r="K33" s="13"/>
      <c r="L33" s="13"/>
    </row>
    <row r="34" spans="4:12" x14ac:dyDescent="0.25">
      <c r="D34" s="13"/>
      <c r="E34" s="13"/>
      <c r="F34" s="13"/>
      <c r="G34" s="13"/>
      <c r="H34" s="13"/>
      <c r="I34" s="13"/>
      <c r="J34" s="13"/>
      <c r="K34" s="13"/>
      <c r="L34" s="13"/>
    </row>
    <row r="35" spans="4:12" x14ac:dyDescent="0.25">
      <c r="D35" s="13"/>
      <c r="E35" s="13"/>
      <c r="F35" s="13"/>
      <c r="G35" s="13"/>
      <c r="H35" s="13"/>
      <c r="I35" s="13"/>
      <c r="J35" s="13"/>
      <c r="K35" s="13"/>
      <c r="L3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02.SaveAqSpecies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EF3AC-5704-4A9B-B8C7-AB6B4296BC9F}">
  <sheetPr codeName="Sheet03"/>
  <dimension ref="A1:O18"/>
  <sheetViews>
    <sheetView workbookViewId="0">
      <selection activeCell="N17" sqref="N17"/>
    </sheetView>
  </sheetViews>
  <sheetFormatPr defaultColWidth="9.140625" defaultRowHeight="15" x14ac:dyDescent="0.25"/>
  <cols>
    <col min="1" max="1" width="3.5703125" style="1" customWidth="1"/>
    <col min="2" max="16384" width="9.140625" style="1"/>
  </cols>
  <sheetData>
    <row r="1" spans="1:15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</row>
    <row r="2" spans="1:15" ht="23.25" x14ac:dyDescent="0.35">
      <c r="B2" s="8" t="s">
        <v>37</v>
      </c>
    </row>
    <row r="9" spans="1:15" x14ac:dyDescent="0.25">
      <c r="C9" s="14">
        <f>COUNTA(C11:C997)</f>
        <v>8</v>
      </c>
    </row>
    <row r="10" spans="1:15" ht="15.75" thickBot="1" x14ac:dyDescent="0.3">
      <c r="C10" s="6" t="s">
        <v>14</v>
      </c>
      <c r="D10" s="6" t="s">
        <v>15</v>
      </c>
      <c r="E10" s="16" t="s">
        <v>43</v>
      </c>
      <c r="F10" s="16" t="s">
        <v>44</v>
      </c>
      <c r="G10" s="16" t="s">
        <v>45</v>
      </c>
      <c r="H10" s="16" t="s">
        <v>46</v>
      </c>
      <c r="I10" s="16" t="s">
        <v>47</v>
      </c>
      <c r="J10" s="16" t="s">
        <v>48</v>
      </c>
      <c r="K10" s="16" t="s">
        <v>49</v>
      </c>
      <c r="L10" s="16" t="s">
        <v>50</v>
      </c>
      <c r="M10" s="16" t="s">
        <v>51</v>
      </c>
      <c r="N10" s="16" t="s">
        <v>52</v>
      </c>
      <c r="O10" s="16" t="s">
        <v>53</v>
      </c>
    </row>
    <row r="11" spans="1:15" x14ac:dyDescent="0.25">
      <c r="C11" s="13">
        <v>1</v>
      </c>
      <c r="D11" s="1" t="str">
        <f>AqSpecies!E10</f>
        <v>H2O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1</v>
      </c>
      <c r="O11" s="1">
        <v>0</v>
      </c>
    </row>
    <row r="12" spans="1:15" x14ac:dyDescent="0.25">
      <c r="C12" s="13">
        <v>2</v>
      </c>
      <c r="D12" s="1" t="str">
        <f>AqSpecies!E11</f>
        <v>H+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1</v>
      </c>
      <c r="O12" s="1">
        <v>1</v>
      </c>
    </row>
    <row r="13" spans="1:15" x14ac:dyDescent="0.25">
      <c r="C13" s="13">
        <v>3</v>
      </c>
      <c r="D13" s="1" t="str">
        <f>AqSpecies!E12</f>
        <v>OH-</v>
      </c>
      <c r="E13" s="1">
        <v>-9.66</v>
      </c>
      <c r="F13" s="1">
        <v>28.5</v>
      </c>
      <c r="G13" s="1">
        <v>80</v>
      </c>
      <c r="H13" s="1">
        <v>-22.9</v>
      </c>
      <c r="I13" s="1">
        <v>1.89</v>
      </c>
      <c r="J13" s="1">
        <v>0</v>
      </c>
      <c r="K13" s="1">
        <v>1.0900000000000001</v>
      </c>
      <c r="L13" s="1">
        <v>0</v>
      </c>
      <c r="M13" s="1">
        <v>0</v>
      </c>
      <c r="N13" s="1">
        <v>1</v>
      </c>
      <c r="O13" s="1">
        <v>-1</v>
      </c>
    </row>
    <row r="14" spans="1:15" x14ac:dyDescent="0.25">
      <c r="C14" s="13">
        <v>4</v>
      </c>
      <c r="D14" s="1" t="str">
        <f>AqSpecies!E13</f>
        <v>H2SO4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1</v>
      </c>
      <c r="O14" s="1">
        <v>0</v>
      </c>
    </row>
    <row r="15" spans="1:15" x14ac:dyDescent="0.25">
      <c r="C15" s="13">
        <v>5</v>
      </c>
      <c r="D15" s="1" t="str">
        <f>AqSpecies!E14</f>
        <v>HSO4-</v>
      </c>
      <c r="E15" s="1">
        <v>8.5252999999999997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v>-1</v>
      </c>
    </row>
    <row r="16" spans="1:15" x14ac:dyDescent="0.25">
      <c r="C16" s="13">
        <v>6</v>
      </c>
      <c r="D16" s="1" t="str">
        <f>AqSpecies!E15</f>
        <v>SO42-</v>
      </c>
      <c r="E16" s="1">
        <v>-7.77</v>
      </c>
      <c r="F16" s="1">
        <v>43.17</v>
      </c>
      <c r="G16" s="1">
        <v>141.1</v>
      </c>
      <c r="H16" s="1">
        <v>-42.45</v>
      </c>
      <c r="I16" s="1">
        <v>3.794</v>
      </c>
      <c r="J16" s="1">
        <v>0</v>
      </c>
      <c r="K16" s="1">
        <v>4.97</v>
      </c>
      <c r="L16" s="1">
        <v>26.5</v>
      </c>
      <c r="M16" s="1">
        <v>-5.7700000000000001E-2</v>
      </c>
      <c r="N16" s="1">
        <v>0.45</v>
      </c>
      <c r="O16" s="1">
        <v>-2</v>
      </c>
    </row>
    <row r="17" spans="3:15" x14ac:dyDescent="0.25">
      <c r="C17" s="13">
        <v>7</v>
      </c>
      <c r="D17" s="1" t="str">
        <f>AqSpecies!E16</f>
        <v>HNO3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1</v>
      </c>
      <c r="O17" s="1">
        <v>0</v>
      </c>
    </row>
    <row r="18" spans="3:15" x14ac:dyDescent="0.25">
      <c r="C18" s="13">
        <v>8</v>
      </c>
      <c r="D18" s="1" t="str">
        <f>AqSpecies!E17</f>
        <v>NO3-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1</v>
      </c>
      <c r="O18" s="1">
        <v>0</v>
      </c>
    </row>
  </sheetData>
  <conditionalFormatting sqref="Y12:AI13 E11:O36">
    <cfRule type="cellIs" dxfId="11" priority="2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SaveVolData">
                <anchor moveWithCells="1" sizeWithCells="1">
                  <from>
                    <xdr:col>7</xdr:col>
                    <xdr:colOff>323850</xdr:colOff>
                    <xdr:row>3</xdr:row>
                    <xdr:rowOff>114300</xdr:rowOff>
                  </from>
                  <to>
                    <xdr:col>9</xdr:col>
                    <xdr:colOff>447675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ABF62-8BB5-49C3-B159-3FB7E26B1B4E}">
  <sheetPr codeName="Sheet04"/>
  <dimension ref="B2:J19"/>
  <sheetViews>
    <sheetView workbookViewId="0">
      <selection activeCell="K25" sqref="K2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3" width="8.140625" style="1" customWidth="1"/>
    <col min="4" max="4" width="23.140625" style="1" customWidth="1"/>
    <col min="5" max="6" width="9.140625" style="1"/>
    <col min="7" max="7" width="17.140625" style="1" customWidth="1"/>
    <col min="8" max="8" width="25.85546875" style="1" bestFit="1" customWidth="1"/>
    <col min="9" max="16384" width="9.140625" style="1"/>
  </cols>
  <sheetData>
    <row r="2" spans="2:10" ht="23.25" x14ac:dyDescent="0.35">
      <c r="B2" s="8" t="s">
        <v>38</v>
      </c>
    </row>
    <row r="8" spans="2:10" ht="15.75" thickBot="1" x14ac:dyDescent="0.3">
      <c r="C8" s="20"/>
      <c r="D8" s="6" t="s">
        <v>54</v>
      </c>
      <c r="G8" s="6" t="s">
        <v>62</v>
      </c>
      <c r="H8" s="6"/>
      <c r="J8" s="6" t="s">
        <v>69</v>
      </c>
    </row>
    <row r="9" spans="2:10" x14ac:dyDescent="0.25">
      <c r="C9" s="1" t="s">
        <v>55</v>
      </c>
      <c r="D9" s="21">
        <v>999.84252000000004</v>
      </c>
      <c r="G9" s="1" t="s">
        <v>63</v>
      </c>
      <c r="H9" s="21">
        <v>-6928.9117283963787</v>
      </c>
      <c r="J9" s="24">
        <v>1.4316179710200949</v>
      </c>
    </row>
    <row r="10" spans="2:10" x14ac:dyDescent="0.25">
      <c r="C10" s="1" t="s">
        <v>43</v>
      </c>
      <c r="D10" s="21">
        <v>16.945226999999999</v>
      </c>
      <c r="G10" s="1" t="s">
        <v>64</v>
      </c>
      <c r="H10" s="21">
        <v>49.28708037102961</v>
      </c>
      <c r="J10" s="24">
        <v>-5.0813077204906517E-3</v>
      </c>
    </row>
    <row r="11" spans="2:10" x14ac:dyDescent="0.25">
      <c r="C11" s="1" t="s">
        <v>44</v>
      </c>
      <c r="D11" s="21">
        <v>-7.9870640999999999E-3</v>
      </c>
      <c r="G11" s="1" t="s">
        <v>65</v>
      </c>
      <c r="H11" s="21">
        <v>-5.0023343462512635</v>
      </c>
      <c r="J11" s="24">
        <v>2.1523296726328726E-5</v>
      </c>
    </row>
    <row r="12" spans="2:10" x14ac:dyDescent="0.25">
      <c r="C12" s="1" t="s">
        <v>45</v>
      </c>
      <c r="D12" s="21">
        <v>-4.6170600000000001E-5</v>
      </c>
      <c r="G12" s="1" t="s">
        <v>66</v>
      </c>
      <c r="H12" s="21">
        <v>-5.1283908125080825E-3</v>
      </c>
      <c r="J12" s="24">
        <v>-3.7718588084377706E-8</v>
      </c>
    </row>
    <row r="13" spans="2:10" ht="15.75" thickBot="1" x14ac:dyDescent="0.3">
      <c r="C13" s="1" t="s">
        <v>46</v>
      </c>
      <c r="D13" s="21">
        <v>1.0556334000000001E-7</v>
      </c>
      <c r="G13" s="1" t="s">
        <v>67</v>
      </c>
      <c r="H13" s="21">
        <v>0</v>
      </c>
      <c r="J13" s="25">
        <v>2.1286727080189974E-11</v>
      </c>
    </row>
    <row r="14" spans="2:10" ht="15.75" thickBot="1" x14ac:dyDescent="0.3">
      <c r="C14" s="1" t="s">
        <v>56</v>
      </c>
      <c r="D14" s="21">
        <v>-2.8054337000000001E-10</v>
      </c>
      <c r="G14" s="22" t="s">
        <v>68</v>
      </c>
      <c r="H14" s="23">
        <v>5.9818533362675637E-6</v>
      </c>
    </row>
    <row r="15" spans="2:10" x14ac:dyDescent="0.25">
      <c r="C15" s="1" t="s">
        <v>57</v>
      </c>
      <c r="D15" s="21">
        <v>1.6879849999999998E-2</v>
      </c>
    </row>
    <row r="16" spans="2:10" x14ac:dyDescent="0.25">
      <c r="C16" s="1" t="s">
        <v>58</v>
      </c>
      <c r="D16" s="21">
        <v>4.3922000000000003E-2</v>
      </c>
    </row>
    <row r="17" spans="3:4" x14ac:dyDescent="0.25">
      <c r="C17" s="1" t="s">
        <v>59</v>
      </c>
      <c r="D17" s="21">
        <v>-7.6000000000000004E-5</v>
      </c>
    </row>
    <row r="18" spans="3:4" x14ac:dyDescent="0.25">
      <c r="C18" s="1" t="s">
        <v>60</v>
      </c>
      <c r="D18" s="21">
        <v>1.2599999999999999E-7</v>
      </c>
    </row>
    <row r="19" spans="3:4" ht="15.75" thickBot="1" x14ac:dyDescent="0.3">
      <c r="C19" s="22" t="s">
        <v>61</v>
      </c>
      <c r="D19" s="23">
        <v>3.1899999999999999E-9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2.SaveWaterData">
                <anchor moveWithCells="1" sizeWithCells="1">
                  <from>
                    <xdr:col>5</xdr:col>
                    <xdr:colOff>114300</xdr:colOff>
                    <xdr:row>3</xdr:row>
                    <xdr:rowOff>85725</xdr:rowOff>
                  </from>
                  <to>
                    <xdr:col>6</xdr:col>
                    <xdr:colOff>781050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FA20-DECE-42B1-B751-757E8B70353B}">
  <sheetPr codeName="Sheet1"/>
  <dimension ref="A1:Q20"/>
  <sheetViews>
    <sheetView workbookViewId="0">
      <selection activeCell="H21" sqref="H21"/>
    </sheetView>
  </sheetViews>
  <sheetFormatPr defaultColWidth="9.140625" defaultRowHeight="15" x14ac:dyDescent="0.25"/>
  <cols>
    <col min="1" max="1" width="2.5703125" style="1" customWidth="1"/>
    <col min="2" max="6" width="9.140625" style="1"/>
    <col min="7" max="7" width="14.42578125" style="1" customWidth="1"/>
    <col min="8" max="8" width="16.140625" style="1" customWidth="1"/>
    <col min="9" max="16" width="9.140625" style="1"/>
    <col min="17" max="17" width="36.5703125" style="1" customWidth="1"/>
    <col min="18" max="16384" width="9.140625" style="1"/>
  </cols>
  <sheetData>
    <row r="1" spans="1:17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</row>
    <row r="2" spans="1:17" ht="23.25" x14ac:dyDescent="0.35">
      <c r="B2" s="8" t="s">
        <v>127</v>
      </c>
    </row>
    <row r="8" spans="1:17" x14ac:dyDescent="0.25">
      <c r="D8" s="35" t="s">
        <v>147</v>
      </c>
      <c r="E8" s="14">
        <f>COUNTA(E10:E198)</f>
        <v>11</v>
      </c>
      <c r="F8" s="13"/>
    </row>
    <row r="9" spans="1:17" ht="15.75" thickBot="1" x14ac:dyDescent="0.3">
      <c r="D9" s="16" t="s">
        <v>14</v>
      </c>
      <c r="E9" s="16" t="s">
        <v>15</v>
      </c>
      <c r="F9" s="16" t="s">
        <v>16</v>
      </c>
      <c r="G9" s="16" t="s">
        <v>143</v>
      </c>
      <c r="H9" s="16" t="s">
        <v>144</v>
      </c>
      <c r="Q9" s="17" t="s">
        <v>23</v>
      </c>
    </row>
    <row r="10" spans="1:17" x14ac:dyDescent="0.25">
      <c r="D10" s="13">
        <v>1</v>
      </c>
      <c r="E10" s="13" t="s">
        <v>128</v>
      </c>
      <c r="F10" s="13" t="s">
        <v>128</v>
      </c>
      <c r="G10" s="1">
        <v>-393</v>
      </c>
      <c r="H10" s="1">
        <v>214</v>
      </c>
      <c r="Q10" s="1" t="str">
        <f>"Integer, Parameter :: iHC_"&amp;F10&amp;"="&amp;D10</f>
        <v>Integer, Parameter :: iHC_CO2=1</v>
      </c>
    </row>
    <row r="11" spans="1:17" x14ac:dyDescent="0.25">
      <c r="D11" s="13">
        <v>2</v>
      </c>
      <c r="E11" s="13" t="s">
        <v>24</v>
      </c>
      <c r="F11" s="13" t="s">
        <v>24</v>
      </c>
      <c r="G11" s="1">
        <v>-241.8</v>
      </c>
      <c r="H11" s="1">
        <v>188.84</v>
      </c>
      <c r="Q11" s="1" t="str">
        <f t="shared" ref="Q11:Q20" si="0">"Integer, Parameter :: iHC_"&amp;F11&amp;"="&amp;D11</f>
        <v>Integer, Parameter :: iHC_H2O=2</v>
      </c>
    </row>
    <row r="12" spans="1:17" x14ac:dyDescent="0.25">
      <c r="D12" s="13">
        <v>3</v>
      </c>
      <c r="E12" s="13" t="s">
        <v>129</v>
      </c>
      <c r="F12" s="13" t="s">
        <v>129</v>
      </c>
      <c r="G12" s="1">
        <v>0</v>
      </c>
      <c r="H12" s="1">
        <v>192</v>
      </c>
      <c r="Q12" s="1" t="str">
        <f t="shared" si="0"/>
        <v>Integer, Parameter :: iHC_N2=3</v>
      </c>
    </row>
    <row r="13" spans="1:17" x14ac:dyDescent="0.25">
      <c r="D13" s="13">
        <v>4</v>
      </c>
      <c r="E13" s="13" t="s">
        <v>130</v>
      </c>
      <c r="F13" s="13" t="s">
        <v>130</v>
      </c>
      <c r="G13" s="1">
        <v>0</v>
      </c>
      <c r="H13" s="1">
        <v>205</v>
      </c>
      <c r="Q13" s="1" t="str">
        <f t="shared" si="0"/>
        <v>Integer, Parameter :: iHC_O2=4</v>
      </c>
    </row>
    <row r="14" spans="1:17" x14ac:dyDescent="0.25">
      <c r="D14" s="13">
        <v>5</v>
      </c>
      <c r="E14" s="13" t="s">
        <v>131</v>
      </c>
      <c r="F14" s="13" t="s">
        <v>131</v>
      </c>
      <c r="G14" s="1">
        <v>-20.6</v>
      </c>
      <c r="H14" s="1">
        <v>205.81</v>
      </c>
      <c r="Q14" s="1" t="str">
        <f t="shared" si="0"/>
        <v>Integer, Parameter :: iHC_H2S=5</v>
      </c>
    </row>
    <row r="15" spans="1:17" x14ac:dyDescent="0.25">
      <c r="D15" s="13">
        <v>6</v>
      </c>
      <c r="E15" s="13" t="s">
        <v>132</v>
      </c>
      <c r="F15" s="13" t="s">
        <v>132</v>
      </c>
      <c r="G15" s="1">
        <v>90.29</v>
      </c>
      <c r="H15" s="1">
        <v>210.76</v>
      </c>
      <c r="Q15" s="1" t="str">
        <f t="shared" si="0"/>
        <v>Integer, Parameter :: iHC_NO=6</v>
      </c>
    </row>
    <row r="16" spans="1:17" x14ac:dyDescent="0.25">
      <c r="D16" s="13">
        <v>7</v>
      </c>
      <c r="E16" s="13" t="s">
        <v>133</v>
      </c>
      <c r="F16" s="13" t="s">
        <v>133</v>
      </c>
      <c r="G16" s="1">
        <v>33.1</v>
      </c>
      <c r="H16" s="1">
        <v>240.04</v>
      </c>
      <c r="Q16" s="1" t="str">
        <f t="shared" si="0"/>
        <v>Integer, Parameter :: iHC_NO2=7</v>
      </c>
    </row>
    <row r="17" spans="4:17" x14ac:dyDescent="0.25">
      <c r="D17" s="13">
        <v>8</v>
      </c>
      <c r="E17" s="13" t="s">
        <v>134</v>
      </c>
      <c r="F17" s="13" t="s">
        <v>134</v>
      </c>
      <c r="G17" s="1">
        <v>-296.81</v>
      </c>
      <c r="H17" s="1">
        <v>248.22</v>
      </c>
      <c r="Q17" s="1" t="str">
        <f t="shared" si="0"/>
        <v>Integer, Parameter :: iHC_SO2=8</v>
      </c>
    </row>
    <row r="18" spans="4:17" x14ac:dyDescent="0.25">
      <c r="D18" s="13">
        <v>9</v>
      </c>
      <c r="E18" s="13" t="s">
        <v>113</v>
      </c>
      <c r="F18" s="13" t="s">
        <v>113</v>
      </c>
      <c r="G18" s="1">
        <v>-735.13</v>
      </c>
      <c r="H18" s="1">
        <v>298.3</v>
      </c>
      <c r="Q18" s="1" t="str">
        <f t="shared" si="0"/>
        <v>Integer, Parameter :: iHC_H2SO4=9</v>
      </c>
    </row>
    <row r="19" spans="4:17" x14ac:dyDescent="0.25">
      <c r="D19" s="13">
        <v>10</v>
      </c>
      <c r="E19" s="13" t="s">
        <v>117</v>
      </c>
      <c r="F19" s="13" t="s">
        <v>117</v>
      </c>
      <c r="G19" s="1">
        <v>-134.31</v>
      </c>
      <c r="H19" s="1">
        <v>266.39</v>
      </c>
      <c r="Q19" s="1" t="str">
        <f t="shared" si="0"/>
        <v>Integer, Parameter :: iHC_HNO3=10</v>
      </c>
    </row>
    <row r="20" spans="4:17" x14ac:dyDescent="0.25">
      <c r="D20" s="13">
        <v>11</v>
      </c>
      <c r="E20" s="13" t="s">
        <v>135</v>
      </c>
      <c r="F20" s="13" t="s">
        <v>135</v>
      </c>
      <c r="G20" s="1">
        <v>102</v>
      </c>
      <c r="H20" s="1">
        <v>431</v>
      </c>
      <c r="Q20" s="1" t="str">
        <f t="shared" si="0"/>
        <v>Integer, Parameter :: iHC_S8=11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1.SaveGasThermo">
                <anchor moveWithCells="1" sizeWithCells="1">
                  <from>
                    <xdr:col>3</xdr:col>
                    <xdr:colOff>285750</xdr:colOff>
                    <xdr:row>3</xdr:row>
                    <xdr:rowOff>0</xdr:rowOff>
                  </from>
                  <to>
                    <xdr:col>5</xdr:col>
                    <xdr:colOff>504825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534C-368E-476E-B31F-EDD58E01E68F}">
  <sheetPr codeName="Sheet2"/>
  <dimension ref="A1:Z51"/>
  <sheetViews>
    <sheetView zoomScaleNormal="100" workbookViewId="0">
      <selection activeCell="K23" sqref="K23"/>
    </sheetView>
  </sheetViews>
  <sheetFormatPr defaultColWidth="9.140625" defaultRowHeight="15" x14ac:dyDescent="0.25"/>
  <cols>
    <col min="1" max="1" width="3" style="1" customWidth="1"/>
    <col min="2" max="4" width="9.140625" style="1"/>
    <col min="5" max="5" width="37.5703125" style="1" customWidth="1"/>
    <col min="6" max="6" width="16.7109375" style="1" customWidth="1"/>
    <col min="7" max="16384" width="9.140625" style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26" ht="46.5" x14ac:dyDescent="0.7">
      <c r="B2" s="41" t="s">
        <v>152</v>
      </c>
    </row>
    <row r="5" spans="1:26" x14ac:dyDescent="0.25">
      <c r="C5" s="10" t="s">
        <v>153</v>
      </c>
      <c r="D5" s="46">
        <f>COUNTA(D8:D51)</f>
        <v>5</v>
      </c>
      <c r="E5" s="47"/>
      <c r="F5" s="47"/>
    </row>
    <row r="6" spans="1:26" x14ac:dyDescent="0.25">
      <c r="G6" s="48">
        <v>1</v>
      </c>
      <c r="H6" s="48">
        <v>2</v>
      </c>
      <c r="I6" s="48">
        <v>3</v>
      </c>
      <c r="J6" s="48">
        <v>4</v>
      </c>
      <c r="K6" s="48">
        <v>5</v>
      </c>
      <c r="L6" s="48">
        <v>6</v>
      </c>
      <c r="M6" s="48">
        <v>7</v>
      </c>
      <c r="N6" s="48">
        <v>8</v>
      </c>
      <c r="O6" s="48">
        <v>9</v>
      </c>
      <c r="P6" s="48">
        <v>10</v>
      </c>
      <c r="Q6" s="48">
        <v>11</v>
      </c>
    </row>
    <row r="7" spans="1:26" ht="15.75" thickBot="1" x14ac:dyDescent="0.3">
      <c r="D7" s="6" t="s">
        <v>14</v>
      </c>
      <c r="E7" s="16" t="s">
        <v>154</v>
      </c>
      <c r="F7" s="16" t="s">
        <v>155</v>
      </c>
      <c r="G7" s="16" t="s">
        <v>128</v>
      </c>
      <c r="H7" s="16" t="s">
        <v>24</v>
      </c>
      <c r="I7" s="16" t="s">
        <v>129</v>
      </c>
      <c r="J7" s="16" t="s">
        <v>130</v>
      </c>
      <c r="K7" s="16" t="s">
        <v>131</v>
      </c>
      <c r="L7" s="16" t="s">
        <v>132</v>
      </c>
      <c r="M7" s="16" t="s">
        <v>133</v>
      </c>
      <c r="N7" s="16" t="s">
        <v>134</v>
      </c>
      <c r="O7" s="16" t="s">
        <v>113</v>
      </c>
      <c r="P7" s="16" t="s">
        <v>117</v>
      </c>
      <c r="Q7" s="16" t="s">
        <v>135</v>
      </c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D8" s="13">
        <v>1</v>
      </c>
      <c r="E8" s="13" t="s">
        <v>156</v>
      </c>
      <c r="F8" s="46">
        <f>COUNTA(G8:Z8)</f>
        <v>5</v>
      </c>
      <c r="G8" s="49"/>
      <c r="H8" s="49">
        <v>-1</v>
      </c>
      <c r="I8" s="49"/>
      <c r="J8" s="49"/>
      <c r="K8" s="49"/>
      <c r="L8" s="49">
        <v>1</v>
      </c>
      <c r="M8" s="49">
        <v>-1</v>
      </c>
      <c r="N8" s="49">
        <v>-1</v>
      </c>
      <c r="O8" s="49">
        <v>1</v>
      </c>
      <c r="P8" s="49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D9" s="13">
        <v>2</v>
      </c>
      <c r="E9" s="13" t="s">
        <v>157</v>
      </c>
      <c r="F9" s="46">
        <f t="shared" ref="F9:F11" si="0">COUNTA(G9:Z9)</f>
        <v>3</v>
      </c>
      <c r="G9" s="49"/>
      <c r="H9" s="49"/>
      <c r="I9" s="49"/>
      <c r="J9" s="49">
        <v>-1</v>
      </c>
      <c r="K9" s="49"/>
      <c r="L9" s="49">
        <v>-2</v>
      </c>
      <c r="M9" s="49">
        <v>2</v>
      </c>
      <c r="N9" s="49"/>
      <c r="O9" s="49"/>
      <c r="P9" s="49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D10" s="13">
        <v>3</v>
      </c>
      <c r="E10" s="13" t="s">
        <v>158</v>
      </c>
      <c r="F10" s="46">
        <f t="shared" si="0"/>
        <v>5</v>
      </c>
      <c r="G10" s="49"/>
      <c r="H10" s="49">
        <v>1</v>
      </c>
      <c r="I10" s="49"/>
      <c r="J10" s="49"/>
      <c r="K10" s="49">
        <v>-1</v>
      </c>
      <c r="L10" s="49">
        <v>3</v>
      </c>
      <c r="M10" s="49">
        <v>-3</v>
      </c>
      <c r="N10" s="49">
        <v>1</v>
      </c>
      <c r="O10" s="49"/>
      <c r="P10" s="49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D11" s="13">
        <v>4</v>
      </c>
      <c r="E11" s="13" t="s">
        <v>159</v>
      </c>
      <c r="F11" s="46">
        <f t="shared" si="0"/>
        <v>4</v>
      </c>
      <c r="G11" s="49"/>
      <c r="H11" s="49">
        <v>8</v>
      </c>
      <c r="I11" s="49"/>
      <c r="J11" s="49">
        <v>-4</v>
      </c>
      <c r="K11" s="49">
        <v>-8</v>
      </c>
      <c r="L11" s="49"/>
      <c r="M11" s="49"/>
      <c r="N11" s="49"/>
      <c r="O11" s="49"/>
      <c r="P11" s="49"/>
      <c r="Q11" s="13">
        <v>1</v>
      </c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D12" s="13">
        <v>5</v>
      </c>
      <c r="E12" s="13" t="s">
        <v>162</v>
      </c>
      <c r="F12" s="13">
        <v>4</v>
      </c>
      <c r="G12" s="49"/>
      <c r="H12" s="49">
        <v>-1</v>
      </c>
      <c r="I12" s="49"/>
      <c r="J12" s="49"/>
      <c r="K12" s="49"/>
      <c r="L12" s="49">
        <v>1</v>
      </c>
      <c r="M12" s="49">
        <v>-3</v>
      </c>
      <c r="N12" s="49"/>
      <c r="O12" s="49"/>
      <c r="P12" s="49">
        <v>2</v>
      </c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D13" s="13"/>
      <c r="E13" s="13"/>
      <c r="F13" s="13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D14" s="13"/>
      <c r="E14" s="13"/>
      <c r="F14" s="13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D15" s="13"/>
      <c r="E15" s="13"/>
      <c r="F15" s="13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D16" s="13"/>
      <c r="E16" s="13"/>
      <c r="F16" s="13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13"/>
      <c r="S16" s="13"/>
      <c r="T16" s="13"/>
      <c r="U16" s="13"/>
      <c r="V16" s="13"/>
      <c r="W16" s="13"/>
      <c r="X16" s="13"/>
      <c r="Y16" s="13"/>
      <c r="Z16" s="13"/>
    </row>
    <row r="17" spans="4:26" x14ac:dyDescent="0.25">
      <c r="D17" s="13"/>
      <c r="E17" s="13"/>
      <c r="F17" s="13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4:26" x14ac:dyDescent="0.25">
      <c r="D18" s="13"/>
      <c r="E18" s="13"/>
      <c r="F18" s="13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4:26" x14ac:dyDescent="0.25">
      <c r="D19" s="13"/>
      <c r="E19" s="13"/>
      <c r="F19" s="13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4:26" x14ac:dyDescent="0.25">
      <c r="D20" s="13"/>
      <c r="E20" s="13"/>
      <c r="F20" s="13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4:26" x14ac:dyDescent="0.25">
      <c r="D21" s="13"/>
      <c r="E21" s="13"/>
      <c r="F21" s="13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4:26" x14ac:dyDescent="0.25">
      <c r="D22" s="13"/>
      <c r="E22" s="13"/>
      <c r="F22" s="13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4:26" x14ac:dyDescent="0.25">
      <c r="D23" s="13"/>
      <c r="E23" s="13"/>
      <c r="F23" s="13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4:26" x14ac:dyDescent="0.25">
      <c r="D24" s="13"/>
      <c r="E24" s="13"/>
      <c r="F24" s="13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4:26" x14ac:dyDescent="0.25">
      <c r="D25" s="13"/>
      <c r="E25" s="13"/>
      <c r="F25" s="13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4:26" x14ac:dyDescent="0.25">
      <c r="D26" s="13"/>
      <c r="E26" s="13"/>
      <c r="F26" s="13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4:26" x14ac:dyDescent="0.25">
      <c r="D27" s="13"/>
      <c r="E27" s="13"/>
      <c r="F27" s="13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4:26" x14ac:dyDescent="0.25">
      <c r="D28" s="13"/>
      <c r="E28" s="13"/>
      <c r="F28" s="13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4:26" x14ac:dyDescent="0.25">
      <c r="D29" s="13"/>
      <c r="E29" s="13"/>
      <c r="F29" s="13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4:26" x14ac:dyDescent="0.25">
      <c r="D30" s="13"/>
      <c r="E30" s="13"/>
      <c r="F30" s="13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4:26" x14ac:dyDescent="0.25">
      <c r="D31" s="13"/>
      <c r="E31" s="13"/>
      <c r="F31" s="13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4:26" x14ac:dyDescent="0.25">
      <c r="D32" s="13"/>
      <c r="E32" s="13"/>
      <c r="F32" s="13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4:26" x14ac:dyDescent="0.25">
      <c r="D33" s="13"/>
      <c r="E33" s="13"/>
      <c r="F33" s="13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4:26" x14ac:dyDescent="0.25">
      <c r="D34" s="13"/>
      <c r="E34" s="13"/>
      <c r="F34" s="13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4:26" x14ac:dyDescent="0.25">
      <c r="D35" s="13"/>
      <c r="E35" s="13"/>
      <c r="F35" s="13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4:26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4:26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4:26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4:26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4:26" x14ac:dyDescent="0.25"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4:26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4:26" x14ac:dyDescent="0.25"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4:26" x14ac:dyDescent="0.25"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4:26" x14ac:dyDescent="0.25"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4:26" x14ac:dyDescent="0.25"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4:26" x14ac:dyDescent="0.25"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4:26" x14ac:dyDescent="0.25"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4:26" x14ac:dyDescent="0.25"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7:26" x14ac:dyDescent="0.25"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7:26" x14ac:dyDescent="0.25"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7:26" x14ac:dyDescent="0.25"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</sheetData>
  <conditionalFormatting sqref="G8:P15 G17:P35 G16:Q16">
    <cfRule type="cellIs" dxfId="1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heet2.SaveGasRx">
                <anchor moveWithCells="1" sizeWithCells="1">
                  <from>
                    <xdr:col>4</xdr:col>
                    <xdr:colOff>1543050</xdr:colOff>
                    <xdr:row>3</xdr:row>
                    <xdr:rowOff>85725</xdr:rowOff>
                  </from>
                  <to>
                    <xdr:col>5</xdr:col>
                    <xdr:colOff>581025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C743-262F-43E5-8440-DC04FBAF03E3}">
  <sheetPr codeName="Sheet4"/>
  <dimension ref="A1:X18"/>
  <sheetViews>
    <sheetView workbookViewId="0">
      <selection activeCell="R38" sqref="R38"/>
    </sheetView>
  </sheetViews>
  <sheetFormatPr defaultColWidth="9.140625" defaultRowHeight="15" x14ac:dyDescent="0.25"/>
  <cols>
    <col min="1" max="1" width="3" style="1" customWidth="1"/>
    <col min="2" max="5" width="9.140625" style="1"/>
    <col min="6" max="6" width="14" style="1" customWidth="1"/>
    <col min="7" max="8" width="11" style="1" customWidth="1"/>
    <col min="9" max="9" width="14.85546875" style="1" customWidth="1"/>
    <col min="10" max="10" width="10" style="1" customWidth="1"/>
    <col min="11" max="16384" width="9.140625" style="1"/>
  </cols>
  <sheetData>
    <row r="1" spans="1:24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</row>
    <row r="2" spans="1:24" ht="46.5" x14ac:dyDescent="0.7">
      <c r="B2" s="41" t="s">
        <v>137</v>
      </c>
    </row>
    <row r="5" spans="1:24" x14ac:dyDescent="0.25">
      <c r="C5" s="10"/>
    </row>
    <row r="6" spans="1:24" x14ac:dyDescent="0.25">
      <c r="D6" s="35" t="s">
        <v>147</v>
      </c>
      <c r="E6" s="14">
        <f>COUNTA(E8:E196)</f>
        <v>11</v>
      </c>
    </row>
    <row r="7" spans="1:24" ht="15.75" thickBot="1" x14ac:dyDescent="0.3">
      <c r="D7" s="6" t="s">
        <v>14</v>
      </c>
      <c r="E7" s="6" t="s">
        <v>15</v>
      </c>
      <c r="F7" s="42" t="s">
        <v>138</v>
      </c>
      <c r="G7" s="42" t="s">
        <v>139</v>
      </c>
      <c r="H7" s="42" t="s">
        <v>140</v>
      </c>
      <c r="I7" s="42" t="s">
        <v>141</v>
      </c>
      <c r="J7" s="42" t="s">
        <v>142</v>
      </c>
      <c r="M7" s="43"/>
      <c r="N7" s="42" t="str" cm="1">
        <f t="array" ref="N7:X7">TRANSPOSE(E8:E18)</f>
        <v>CO2</v>
      </c>
      <c r="O7" s="42" t="str">
        <v>H2O</v>
      </c>
      <c r="P7" s="42" t="str">
        <v>N2</v>
      </c>
      <c r="Q7" s="42" t="str">
        <v>O2</v>
      </c>
      <c r="R7" s="42" t="str">
        <v>H2S</v>
      </c>
      <c r="S7" s="42" t="str">
        <v>NO</v>
      </c>
      <c r="T7" s="42" t="str">
        <v>NO2</v>
      </c>
      <c r="U7" s="42" t="str">
        <v>SO2</v>
      </c>
      <c r="V7" s="42" t="str">
        <v>H2SO4</v>
      </c>
      <c r="W7" s="42" t="str">
        <v>HNO3</v>
      </c>
      <c r="X7" s="42" t="str">
        <v>S8</v>
      </c>
    </row>
    <row r="8" spans="1:24" x14ac:dyDescent="0.25">
      <c r="D8" s="13">
        <v>1</v>
      </c>
      <c r="E8" s="1" t="str">
        <f>GasData!E10</f>
        <v>CO2</v>
      </c>
      <c r="F8" s="1">
        <v>44.01</v>
      </c>
      <c r="G8" s="1">
        <v>304.2</v>
      </c>
      <c r="H8" s="1">
        <v>73.760000000000005</v>
      </c>
      <c r="I8" s="1">
        <v>0.22500000000000001</v>
      </c>
      <c r="J8" s="1">
        <v>3.028</v>
      </c>
      <c r="M8" s="44" t="str">
        <f>E8</f>
        <v>CO2</v>
      </c>
      <c r="N8" s="13"/>
      <c r="O8" s="13"/>
      <c r="P8" s="13"/>
      <c r="Q8" s="13"/>
      <c r="R8" s="13"/>
      <c r="S8" s="13"/>
      <c r="T8" s="13"/>
      <c r="U8" s="13"/>
      <c r="V8" s="13"/>
      <c r="W8" s="13"/>
    </row>
    <row r="9" spans="1:24" x14ac:dyDescent="0.25">
      <c r="D9" s="13">
        <v>2</v>
      </c>
      <c r="E9" s="1" t="str">
        <f>GasData!E11</f>
        <v>H2O</v>
      </c>
      <c r="F9" s="1">
        <v>18.015999999999998</v>
      </c>
      <c r="G9" s="1">
        <v>647.29999999999995</v>
      </c>
      <c r="H9" s="1">
        <v>220.89</v>
      </c>
      <c r="I9" s="1">
        <v>0.34399999999999997</v>
      </c>
      <c r="J9" s="1">
        <v>5.62</v>
      </c>
      <c r="M9" s="44" t="str">
        <f t="shared" ref="M9:M18" si="0">E9</f>
        <v>H2O</v>
      </c>
      <c r="N9" s="13">
        <v>0.1</v>
      </c>
      <c r="O9" s="13"/>
      <c r="P9" s="13"/>
      <c r="Q9" s="13"/>
      <c r="R9" s="13"/>
      <c r="S9" s="13"/>
      <c r="T9" s="13"/>
      <c r="U9" s="13"/>
      <c r="V9" s="13"/>
      <c r="W9" s="13"/>
    </row>
    <row r="10" spans="1:24" x14ac:dyDescent="0.25">
      <c r="D10" s="13">
        <v>3</v>
      </c>
      <c r="E10" s="1" t="str">
        <f>GasData!E12</f>
        <v>N2</v>
      </c>
      <c r="F10" s="1">
        <v>28.013999999999999</v>
      </c>
      <c r="G10" s="1">
        <v>126.2</v>
      </c>
      <c r="H10" s="1">
        <v>33.94</v>
      </c>
      <c r="I10" s="1">
        <v>0.04</v>
      </c>
      <c r="J10" s="1">
        <v>0.92</v>
      </c>
      <c r="M10" s="44" t="str">
        <f t="shared" si="0"/>
        <v>N2</v>
      </c>
      <c r="N10" s="13">
        <v>-3.15E-2</v>
      </c>
      <c r="O10" s="13">
        <v>0.4</v>
      </c>
      <c r="P10" s="13"/>
      <c r="Q10" s="13"/>
      <c r="R10" s="13"/>
      <c r="S10" s="13"/>
      <c r="T10" s="13"/>
      <c r="U10" s="13"/>
      <c r="V10" s="13"/>
      <c r="W10" s="13"/>
    </row>
    <row r="11" spans="1:24" x14ac:dyDescent="0.25">
      <c r="D11" s="13">
        <v>4</v>
      </c>
      <c r="E11" s="1" t="str">
        <f>GasData!E13</f>
        <v>O2</v>
      </c>
      <c r="F11" s="1">
        <v>31.998999999999999</v>
      </c>
      <c r="G11" s="1">
        <v>154.6</v>
      </c>
      <c r="H11" s="1">
        <v>50.46</v>
      </c>
      <c r="I11" s="1">
        <v>2.1000000000000001E-2</v>
      </c>
      <c r="J11" s="1">
        <v>0.57999999999999996</v>
      </c>
      <c r="M11" s="44" t="str">
        <f t="shared" si="0"/>
        <v>O2</v>
      </c>
      <c r="N11" s="13">
        <v>0.15</v>
      </c>
      <c r="O11" s="13">
        <v>0.5</v>
      </c>
      <c r="P11" s="13">
        <v>-8.0000000000000002E-3</v>
      </c>
      <c r="Q11" s="13"/>
      <c r="R11" s="13"/>
      <c r="S11" s="13"/>
      <c r="T11" s="13"/>
      <c r="U11" s="13"/>
      <c r="V11" s="13"/>
      <c r="W11" s="13"/>
    </row>
    <row r="12" spans="1:24" x14ac:dyDescent="0.25">
      <c r="D12" s="13">
        <v>5</v>
      </c>
      <c r="E12" s="1" t="str">
        <f>GasData!E14</f>
        <v>H2S</v>
      </c>
      <c r="F12" s="1">
        <v>34.085999999999999</v>
      </c>
      <c r="G12" s="1">
        <v>373.2</v>
      </c>
      <c r="H12" s="1">
        <v>89.37</v>
      </c>
      <c r="I12" s="1">
        <v>0.1</v>
      </c>
      <c r="J12" s="1">
        <v>1.78</v>
      </c>
      <c r="M12" s="44" t="str">
        <f t="shared" si="0"/>
        <v>H2S</v>
      </c>
      <c r="N12" s="13">
        <v>9.8900000000000002E-2</v>
      </c>
      <c r="O12" s="13">
        <v>0.03</v>
      </c>
      <c r="P12" s="13">
        <v>0.1696</v>
      </c>
      <c r="Q12" s="13">
        <v>0.1696</v>
      </c>
      <c r="R12" s="13"/>
      <c r="S12" s="13"/>
      <c r="T12" s="13"/>
      <c r="U12" s="13"/>
      <c r="V12" s="13"/>
      <c r="W12" s="13"/>
    </row>
    <row r="13" spans="1:24" x14ac:dyDescent="0.25">
      <c r="D13" s="13">
        <v>6</v>
      </c>
      <c r="E13" s="1" t="str">
        <f>GasData!E15</f>
        <v>NO</v>
      </c>
      <c r="F13" s="1">
        <v>30.009999999999998</v>
      </c>
      <c r="G13" s="1">
        <v>180</v>
      </c>
      <c r="H13" s="1">
        <v>64.8</v>
      </c>
      <c r="I13" s="1">
        <v>0.58799999999999997</v>
      </c>
      <c r="J13" s="1">
        <v>0</v>
      </c>
      <c r="M13" s="44" t="str">
        <f t="shared" si="0"/>
        <v>NO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1:24" x14ac:dyDescent="0.25">
      <c r="D14" s="13">
        <v>7</v>
      </c>
      <c r="E14" s="1" t="str">
        <f>GasData!E16</f>
        <v>NO2</v>
      </c>
      <c r="F14" s="1">
        <v>46.01</v>
      </c>
      <c r="G14" s="1">
        <v>431</v>
      </c>
      <c r="H14" s="1">
        <v>101</v>
      </c>
      <c r="I14" s="1">
        <v>0.83399999999999996</v>
      </c>
      <c r="J14" s="1">
        <v>0</v>
      </c>
      <c r="M14" s="44" t="str">
        <f t="shared" si="0"/>
        <v>NO2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spans="1:24" x14ac:dyDescent="0.25">
      <c r="D15" s="13">
        <v>8</v>
      </c>
      <c r="E15" s="1" t="str">
        <f>GasData!E17</f>
        <v>SO2</v>
      </c>
      <c r="F15" s="1">
        <v>64.069999999999993</v>
      </c>
      <c r="G15" s="1">
        <v>430</v>
      </c>
      <c r="H15" s="1">
        <v>78.84</v>
      </c>
      <c r="I15" s="1">
        <v>0.25600000000000001</v>
      </c>
      <c r="J15" s="1">
        <v>0</v>
      </c>
      <c r="M15" s="44" t="str">
        <f t="shared" si="0"/>
        <v>SO2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spans="1:24" x14ac:dyDescent="0.25">
      <c r="D16" s="13">
        <v>9</v>
      </c>
      <c r="E16" s="1" t="str">
        <f>GasData!E18</f>
        <v>H2SO4</v>
      </c>
      <c r="F16" s="1">
        <v>98.085999999999999</v>
      </c>
      <c r="G16" s="1">
        <v>590.76</v>
      </c>
      <c r="H16" s="1">
        <v>128</v>
      </c>
      <c r="I16" s="1">
        <v>0.49399999999999999</v>
      </c>
      <c r="J16" s="1">
        <v>0</v>
      </c>
      <c r="M16" s="44" t="str">
        <f t="shared" si="0"/>
        <v>H2SO4</v>
      </c>
      <c r="N16" s="13">
        <v>0</v>
      </c>
      <c r="O16" s="13"/>
      <c r="P16" s="13"/>
      <c r="Q16" s="13"/>
      <c r="R16" s="13"/>
      <c r="S16" s="13"/>
      <c r="T16" s="13"/>
      <c r="U16" s="13"/>
      <c r="V16" s="13"/>
      <c r="W16" s="13"/>
    </row>
    <row r="17" spans="4:23" x14ac:dyDescent="0.25">
      <c r="D17" s="13">
        <v>10</v>
      </c>
      <c r="E17" s="1" t="str">
        <f>GasData!E19</f>
        <v>HNO3</v>
      </c>
      <c r="F17" s="1">
        <v>63.018000000000001</v>
      </c>
      <c r="G17" s="1">
        <v>591.95000000000005</v>
      </c>
      <c r="H17" s="1">
        <v>68.900000000000006</v>
      </c>
      <c r="I17" s="1">
        <v>0.71440000000000003</v>
      </c>
      <c r="J17" s="1">
        <v>0</v>
      </c>
      <c r="M17" s="44" t="str">
        <f t="shared" si="0"/>
        <v>HNO3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spans="4:23" x14ac:dyDescent="0.25">
      <c r="D18" s="13">
        <v>11</v>
      </c>
      <c r="E18" s="1" t="str">
        <f>GasData!E20</f>
        <v>S8</v>
      </c>
      <c r="F18" s="1">
        <v>256.52</v>
      </c>
      <c r="G18" s="1">
        <v>1027.3399999999999</v>
      </c>
      <c r="H18" s="1">
        <v>10454.959999999999</v>
      </c>
      <c r="I18" s="45">
        <v>0.1</v>
      </c>
      <c r="J18" s="1">
        <v>0</v>
      </c>
      <c r="M18" s="44" t="str">
        <f t="shared" si="0"/>
        <v>S8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4.SaveEOSInput">
                <anchor moveWithCells="1" sizeWithCells="1">
                  <from>
                    <xdr:col>8</xdr:col>
                    <xdr:colOff>180975</xdr:colOff>
                    <xdr:row>1</xdr:row>
                    <xdr:rowOff>466725</xdr:rowOff>
                  </from>
                  <to>
                    <xdr:col>10</xdr:col>
                    <xdr:colOff>9525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eet4.SaveBIN">
                <anchor moveWithCells="1" sizeWithCells="1">
                  <from>
                    <xdr:col>11</xdr:col>
                    <xdr:colOff>571500</xdr:colOff>
                    <xdr:row>1</xdr:row>
                    <xdr:rowOff>409575</xdr:rowOff>
                  </from>
                  <to>
                    <xdr:col>14</xdr:col>
                    <xdr:colOff>228600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57B5B-1520-47D1-B3BE-874FF694524D}">
  <sheetPr codeName="Sheet05"/>
  <dimension ref="D3:W50"/>
  <sheetViews>
    <sheetView workbookViewId="0">
      <selection activeCell="I14" sqref="I14:P14"/>
    </sheetView>
  </sheetViews>
  <sheetFormatPr defaultColWidth="9.140625" defaultRowHeight="15" x14ac:dyDescent="0.25"/>
  <cols>
    <col min="1" max="3" width="4.85546875" style="1" customWidth="1"/>
    <col min="4" max="4" width="9.140625" style="1"/>
    <col min="5" max="5" width="12.140625" style="1" customWidth="1"/>
    <col min="6" max="7" width="9.140625" style="1"/>
    <col min="8" max="8" width="7.28515625" style="1" customWidth="1"/>
    <col min="9" max="16384" width="9.140625" style="1"/>
  </cols>
  <sheetData>
    <row r="3" spans="4:23" x14ac:dyDescent="0.25">
      <c r="K3" s="1" t="s">
        <v>108</v>
      </c>
      <c r="L3" s="1">
        <v>1</v>
      </c>
      <c r="M3" s="1" t="s">
        <v>109</v>
      </c>
    </row>
    <row r="4" spans="4:23" x14ac:dyDescent="0.25">
      <c r="L4" s="1">
        <v>2</v>
      </c>
      <c r="M4" s="1" t="s">
        <v>110</v>
      </c>
    </row>
    <row r="5" spans="4:23" x14ac:dyDescent="0.25">
      <c r="L5" s="1">
        <v>3</v>
      </c>
      <c r="M5" s="1" t="s">
        <v>111</v>
      </c>
    </row>
    <row r="13" spans="4:23" x14ac:dyDescent="0.25">
      <c r="D13" s="40">
        <f>COUNTA(D15:D100)</f>
        <v>6</v>
      </c>
      <c r="I13" s="13">
        <f>NoAqSpecies</f>
        <v>8</v>
      </c>
    </row>
    <row r="14" spans="4:23" ht="15.75" thickBot="1" x14ac:dyDescent="0.3">
      <c r="D14" s="30" t="s">
        <v>71</v>
      </c>
      <c r="E14" s="30" t="s">
        <v>15</v>
      </c>
      <c r="F14" s="30" t="s">
        <v>108</v>
      </c>
      <c r="G14" s="30" t="s">
        <v>112</v>
      </c>
      <c r="H14" s="30" t="s">
        <v>119</v>
      </c>
      <c r="I14" s="30" t="str" cm="1">
        <f t="array" ref="I14:P14">TRANSPOSE(AqSpecies!E10:E17)</f>
        <v>H2O</v>
      </c>
      <c r="J14" s="30" t="str">
        <v>H+</v>
      </c>
      <c r="K14" s="30" t="str">
        <v>OH-</v>
      </c>
      <c r="L14" s="30" t="str">
        <v>H2SO4</v>
      </c>
      <c r="M14" s="30" t="str">
        <v>HSO4-</v>
      </c>
      <c r="N14" s="30" t="str">
        <v>SO42-</v>
      </c>
      <c r="O14" s="30" t="str">
        <v>HNO3</v>
      </c>
      <c r="P14" s="30" t="str">
        <v>NO3-</v>
      </c>
      <c r="Q14" s="13"/>
      <c r="R14" s="13"/>
      <c r="S14" s="13"/>
      <c r="T14" s="13"/>
      <c r="U14" s="13"/>
      <c r="V14" s="13"/>
      <c r="W14" s="13"/>
    </row>
    <row r="15" spans="4:23" x14ac:dyDescent="0.25">
      <c r="D15" s="13">
        <v>1</v>
      </c>
      <c r="E15" s="1" t="s">
        <v>78</v>
      </c>
      <c r="F15" s="13">
        <v>1</v>
      </c>
      <c r="G15" s="13">
        <v>3</v>
      </c>
      <c r="H15" s="13">
        <v>0</v>
      </c>
      <c r="I15" s="13">
        <v>-1</v>
      </c>
      <c r="J15" s="13">
        <v>1</v>
      </c>
      <c r="K15" s="13">
        <v>1</v>
      </c>
      <c r="L15" s="13"/>
      <c r="M15" s="13"/>
      <c r="N15" s="13"/>
      <c r="O15" s="13"/>
      <c r="P15" s="13"/>
      <c r="Q15" s="13"/>
      <c r="R15" s="13"/>
      <c r="S15" s="39" t="str">
        <f>"Integer, Parameter :: Eqn_"&amp;E15&amp;"="&amp;D15</f>
        <v>Integer, Parameter :: Eqn_Kw=1</v>
      </c>
      <c r="T15" s="13"/>
      <c r="U15" s="13"/>
      <c r="V15" s="13"/>
      <c r="W15" s="13"/>
    </row>
    <row r="16" spans="4:23" x14ac:dyDescent="0.25">
      <c r="D16" s="13">
        <v>2</v>
      </c>
      <c r="E16" s="1" t="s">
        <v>87</v>
      </c>
      <c r="F16" s="13">
        <v>1</v>
      </c>
      <c r="G16" s="13">
        <v>3</v>
      </c>
      <c r="H16" s="13">
        <v>0</v>
      </c>
      <c r="I16" s="13"/>
      <c r="J16" s="13">
        <v>1</v>
      </c>
      <c r="K16" s="13"/>
      <c r="L16" s="13">
        <v>-1</v>
      </c>
      <c r="M16" s="13">
        <v>1</v>
      </c>
      <c r="N16" s="13"/>
      <c r="O16" s="13"/>
      <c r="P16" s="13"/>
      <c r="Q16" s="13"/>
      <c r="R16" s="13"/>
      <c r="S16" s="39" t="str">
        <f t="shared" ref="S16:S20" si="0">"Integer, Parameter :: Eqn_"&amp;E16&amp;"="&amp;D16</f>
        <v>Integer, Parameter :: Eqn_K1H2SO4=2</v>
      </c>
      <c r="T16" s="13"/>
      <c r="U16" s="13"/>
      <c r="V16" s="13"/>
      <c r="W16" s="13"/>
    </row>
    <row r="17" spans="4:23" x14ac:dyDescent="0.25">
      <c r="D17" s="13">
        <v>3</v>
      </c>
      <c r="E17" s="1" t="s">
        <v>88</v>
      </c>
      <c r="F17" s="13">
        <v>1</v>
      </c>
      <c r="G17" s="13">
        <v>3</v>
      </c>
      <c r="H17" s="13">
        <v>0</v>
      </c>
      <c r="I17" s="13"/>
      <c r="J17" s="13">
        <v>1</v>
      </c>
      <c r="K17" s="13"/>
      <c r="L17" s="13"/>
      <c r="M17" s="13">
        <v>-1</v>
      </c>
      <c r="N17" s="13">
        <v>1</v>
      </c>
      <c r="O17" s="13"/>
      <c r="P17" s="13"/>
      <c r="Q17" s="13"/>
      <c r="R17" s="13"/>
      <c r="S17" s="39" t="str">
        <f t="shared" si="0"/>
        <v>Integer, Parameter :: Eqn_K2H2SO4=3</v>
      </c>
      <c r="T17" s="13"/>
      <c r="U17" s="13"/>
      <c r="V17" s="13"/>
      <c r="W17" s="13"/>
    </row>
    <row r="18" spans="4:23" x14ac:dyDescent="0.25">
      <c r="D18" s="13">
        <v>4</v>
      </c>
      <c r="E18" s="1" t="s">
        <v>90</v>
      </c>
      <c r="F18" s="13">
        <v>1</v>
      </c>
      <c r="G18" s="13">
        <v>3</v>
      </c>
      <c r="H18" s="13">
        <v>0</v>
      </c>
      <c r="I18" s="13"/>
      <c r="J18" s="13">
        <v>1</v>
      </c>
      <c r="K18" s="13"/>
      <c r="L18" s="13"/>
      <c r="M18" s="13"/>
      <c r="N18" s="13"/>
      <c r="O18" s="13">
        <v>-1</v>
      </c>
      <c r="P18" s="13">
        <v>1</v>
      </c>
      <c r="Q18" s="13"/>
      <c r="R18" s="13"/>
      <c r="S18" s="39" t="str">
        <f t="shared" si="0"/>
        <v>Integer, Parameter :: Eqn_KHNO3=4</v>
      </c>
      <c r="T18" s="13"/>
      <c r="U18" s="13"/>
      <c r="V18" s="13"/>
      <c r="W18" s="13"/>
    </row>
    <row r="19" spans="4:23" x14ac:dyDescent="0.25">
      <c r="D19" s="13">
        <v>5</v>
      </c>
      <c r="E19" s="1" t="s">
        <v>121</v>
      </c>
      <c r="F19" s="13">
        <v>3</v>
      </c>
      <c r="G19" s="13">
        <v>1</v>
      </c>
      <c r="H19" s="13">
        <v>0</v>
      </c>
      <c r="I19" s="13"/>
      <c r="J19" s="13"/>
      <c r="K19" s="13"/>
      <c r="L19" s="13">
        <v>1</v>
      </c>
      <c r="M19" s="13"/>
      <c r="N19" s="13"/>
      <c r="O19" s="13"/>
      <c r="P19" s="13"/>
      <c r="Q19" s="13"/>
      <c r="R19" s="13"/>
      <c r="S19" s="39" t="str">
        <f t="shared" si="0"/>
        <v>Integer, Parameter :: Eqn_KH_H2SO4=5</v>
      </c>
      <c r="T19" s="13"/>
      <c r="U19" s="13"/>
      <c r="V19" s="13"/>
      <c r="W19" s="13"/>
    </row>
    <row r="20" spans="4:23" x14ac:dyDescent="0.25">
      <c r="D20" s="13">
        <v>6</v>
      </c>
      <c r="E20" s="1" t="s">
        <v>122</v>
      </c>
      <c r="F20" s="13">
        <v>3</v>
      </c>
      <c r="G20" s="13">
        <v>1</v>
      </c>
      <c r="H20" s="13">
        <v>0</v>
      </c>
      <c r="I20" s="13"/>
      <c r="J20" s="13"/>
      <c r="K20" s="13"/>
      <c r="L20" s="13"/>
      <c r="M20" s="13"/>
      <c r="N20" s="13"/>
      <c r="O20" s="13">
        <v>1</v>
      </c>
      <c r="P20" s="13"/>
      <c r="Q20" s="13"/>
      <c r="R20" s="13"/>
      <c r="S20" s="39" t="str">
        <f t="shared" si="0"/>
        <v>Integer, Parameter :: Eqn_KH_HNO3=6</v>
      </c>
      <c r="T20" s="13"/>
      <c r="U20" s="13"/>
      <c r="V20" s="13"/>
      <c r="W20" s="13"/>
    </row>
    <row r="21" spans="4:23" x14ac:dyDescent="0.25"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spans="4:23" x14ac:dyDescent="0.25"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spans="4:23" x14ac:dyDescent="0.25"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spans="4:23" x14ac:dyDescent="0.25"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4:23" x14ac:dyDescent="0.25"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spans="4:23" x14ac:dyDescent="0.25"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spans="4:23" x14ac:dyDescent="0.25"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spans="4:23" x14ac:dyDescent="0.25"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spans="4:23" x14ac:dyDescent="0.25"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spans="4:23" x14ac:dyDescent="0.25"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4:23" x14ac:dyDescent="0.25"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spans="4:23" x14ac:dyDescent="0.25"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spans="6:23" x14ac:dyDescent="0.25"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spans="6:23" x14ac:dyDescent="0.25"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spans="6:23" x14ac:dyDescent="0.25"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spans="6:23" x14ac:dyDescent="0.25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spans="6:23" x14ac:dyDescent="0.25"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spans="6:23" x14ac:dyDescent="0.25"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spans="6:23" x14ac:dyDescent="0.25"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spans="6:23" x14ac:dyDescent="0.25"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spans="6:23" x14ac:dyDescent="0.25"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spans="6:23" x14ac:dyDescent="0.25"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6:23" x14ac:dyDescent="0.25"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spans="6:23" x14ac:dyDescent="0.25"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spans="6:23" x14ac:dyDescent="0.25"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6:23" x14ac:dyDescent="0.25"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6:23" x14ac:dyDescent="0.25"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spans="6:23" x14ac:dyDescent="0.25"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spans="6:23" x14ac:dyDescent="0.25"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6:23" x14ac:dyDescent="0.25"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05.SaveEquilibra">
                <anchor moveWithCells="1" sizeWithCells="1">
                  <from>
                    <xdr:col>8</xdr:col>
                    <xdr:colOff>28575</xdr:colOff>
                    <xdr:row>8</xdr:row>
                    <xdr:rowOff>95250</xdr:rowOff>
                  </from>
                  <to>
                    <xdr:col>10</xdr:col>
                    <xdr:colOff>276225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39D8-11EE-4812-A405-7D2D08B235EB}">
  <sheetPr codeName="Sheet08"/>
  <dimension ref="A1:Z48"/>
  <sheetViews>
    <sheetView workbookViewId="0">
      <selection activeCell="E15" sqref="E1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7" width="12.140625" style="1" customWidth="1"/>
    <col min="8" max="14" width="9.85546875" style="1" customWidth="1"/>
    <col min="15" max="15" width="3.140625" style="1" customWidth="1"/>
    <col min="16" max="22" width="9.85546875" style="1" customWidth="1"/>
    <col min="23" max="23" width="4.7109375" style="1" customWidth="1"/>
    <col min="24" max="25" width="9.85546875" style="1" customWidth="1"/>
    <col min="26" max="16384" width="9.140625" style="1"/>
  </cols>
  <sheetData>
    <row r="1" spans="1:26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26" ht="23.25" x14ac:dyDescent="0.35">
      <c r="B2" s="8" t="s">
        <v>126</v>
      </c>
      <c r="C2" s="8"/>
      <c r="R2" s="13"/>
      <c r="S2" s="13"/>
      <c r="T2" s="13"/>
    </row>
    <row r="3" spans="1:26" x14ac:dyDescent="0.25">
      <c r="R3" s="13"/>
      <c r="S3" s="13"/>
      <c r="T3" s="13"/>
    </row>
    <row r="4" spans="1:26" x14ac:dyDescent="0.25">
      <c r="R4" s="13"/>
      <c r="S4" s="13"/>
      <c r="T4" s="13"/>
    </row>
    <row r="5" spans="1:26" x14ac:dyDescent="0.25">
      <c r="R5" s="13"/>
      <c r="S5" s="13"/>
      <c r="T5" s="13"/>
    </row>
    <row r="6" spans="1:26" x14ac:dyDescent="0.25">
      <c r="R6" s="13"/>
      <c r="S6" s="13"/>
      <c r="T6" s="13"/>
    </row>
    <row r="7" spans="1:26" x14ac:dyDescent="0.25">
      <c r="R7" s="13"/>
      <c r="S7" s="13"/>
      <c r="T7" s="13"/>
    </row>
    <row r="8" spans="1:26" x14ac:dyDescent="0.25">
      <c r="R8" s="26"/>
      <c r="S8" s="26"/>
      <c r="T8" s="26"/>
    </row>
    <row r="11" spans="1:26" x14ac:dyDescent="0.25"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C12" s="26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C13" s="28">
        <f>COUNTA(C15:C231)</f>
        <v>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5.75" thickBot="1" x14ac:dyDescent="0.3">
      <c r="C14" s="30" t="s">
        <v>71</v>
      </c>
      <c r="D14" s="30" t="s">
        <v>123</v>
      </c>
      <c r="E14" s="30" t="s">
        <v>71</v>
      </c>
      <c r="F14" s="30" t="s">
        <v>136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C15" s="29">
        <f>Eq_T!C15</f>
        <v>1</v>
      </c>
      <c r="D15" s="13" t="s">
        <v>113</v>
      </c>
      <c r="E15" s="13">
        <f>Equilibra!D19</f>
        <v>5</v>
      </c>
      <c r="F15" s="13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C16" s="29">
        <f>Eq_T!C16</f>
        <v>2</v>
      </c>
      <c r="D16" s="13" t="s">
        <v>117</v>
      </c>
      <c r="E16" s="13">
        <f>Equilibra!D20</f>
        <v>6</v>
      </c>
      <c r="F16" s="13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3:26" x14ac:dyDescent="0.25">
      <c r="C17" s="29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3:26" x14ac:dyDescent="0.25">
      <c r="C18" s="29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3:26" x14ac:dyDescent="0.25"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3:26" x14ac:dyDescent="0.25"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3:26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3:26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3:26" x14ac:dyDescent="0.25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3:26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3:26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3:26" x14ac:dyDescent="0.2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3:26" x14ac:dyDescent="0.25"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3:26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3:26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3:26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3:26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3:26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3:25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3:25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3:25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3:25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3:25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3:25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3:25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3:25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3:25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  <row r="42" spans="3:25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</row>
    <row r="43" spans="3:25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</row>
    <row r="44" spans="3:25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</row>
    <row r="45" spans="3:25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</row>
    <row r="46" spans="3:25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</row>
    <row r="47" spans="3:25" x14ac:dyDescent="0.25"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</row>
    <row r="48" spans="3:25" x14ac:dyDescent="0.2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08.SaveGasSolub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4</xdr:col>
                    <xdr:colOff>428625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5178-40FE-462E-96FD-F44E7AB93EBF}">
  <sheetPr codeName="Sheet06"/>
  <dimension ref="A1:T46"/>
  <sheetViews>
    <sheetView zoomScaleNormal="100" workbookViewId="0">
      <selection activeCell="S28" sqref="S28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16" width="12.140625" style="1" customWidth="1"/>
    <col min="17" max="18" width="9.140625" style="1"/>
    <col min="19" max="19" width="35.42578125" style="1" customWidth="1"/>
    <col min="20" max="16384" width="9.140625" style="1"/>
  </cols>
  <sheetData>
    <row r="1" spans="1:20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</row>
    <row r="2" spans="1:20" ht="23.25" x14ac:dyDescent="0.35">
      <c r="B2" s="8" t="s">
        <v>13</v>
      </c>
      <c r="C2" s="8"/>
      <c r="R2" s="26">
        <v>1</v>
      </c>
      <c r="S2" s="26" t="s">
        <v>79</v>
      </c>
      <c r="T2" s="26"/>
    </row>
    <row r="3" spans="1:20" x14ac:dyDescent="0.25">
      <c r="R3" s="26">
        <v>2</v>
      </c>
      <c r="S3" s="26" t="s">
        <v>80</v>
      </c>
      <c r="T3" s="26"/>
    </row>
    <row r="4" spans="1:20" x14ac:dyDescent="0.25">
      <c r="R4" s="26">
        <v>3</v>
      </c>
      <c r="S4" s="26" t="s">
        <v>81</v>
      </c>
      <c r="T4" s="26"/>
    </row>
    <row r="5" spans="1:20" x14ac:dyDescent="0.25">
      <c r="R5" s="26">
        <v>4</v>
      </c>
      <c r="S5" s="26"/>
      <c r="T5" s="26"/>
    </row>
    <row r="6" spans="1:20" x14ac:dyDescent="0.25">
      <c r="N6" s="24">
        <v>100000000</v>
      </c>
      <c r="R6" s="26">
        <v>5</v>
      </c>
      <c r="S6" s="26" t="s">
        <v>82</v>
      </c>
      <c r="T6" s="26"/>
    </row>
    <row r="7" spans="1:20" x14ac:dyDescent="0.25">
      <c r="R7" s="26">
        <v>6</v>
      </c>
      <c r="S7" s="26" t="s">
        <v>83</v>
      </c>
      <c r="T7" s="26"/>
    </row>
    <row r="8" spans="1:20" x14ac:dyDescent="0.25">
      <c r="R8" s="26">
        <v>7</v>
      </c>
      <c r="S8" s="26" t="s">
        <v>84</v>
      </c>
      <c r="T8" s="26"/>
    </row>
    <row r="12" spans="1:20" x14ac:dyDescent="0.25">
      <c r="C12" s="26"/>
      <c r="D12" s="27" t="s">
        <v>70</v>
      </c>
      <c r="E12" s="27"/>
      <c r="F12" s="27"/>
      <c r="G12" s="27"/>
      <c r="H12" s="26"/>
      <c r="I12" s="26"/>
      <c r="J12" s="26"/>
      <c r="K12" s="26"/>
      <c r="L12" s="26"/>
      <c r="M12" s="26"/>
      <c r="N12" s="26"/>
      <c r="O12" s="26"/>
      <c r="P12" s="26"/>
    </row>
    <row r="13" spans="1:20" x14ac:dyDescent="0.25">
      <c r="C13" s="28">
        <f>COUNTA(C15:C231)</f>
        <v>6</v>
      </c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20" ht="15.75" thickBot="1" x14ac:dyDescent="0.3">
      <c r="C14" s="30" t="s">
        <v>71</v>
      </c>
      <c r="D14" s="30" t="s">
        <v>15</v>
      </c>
      <c r="E14" s="30" t="s">
        <v>72</v>
      </c>
      <c r="F14" s="30" t="s">
        <v>73</v>
      </c>
      <c r="G14" s="30" t="s">
        <v>74</v>
      </c>
      <c r="H14" s="31" t="s">
        <v>63</v>
      </c>
      <c r="I14" s="31" t="s">
        <v>64</v>
      </c>
      <c r="J14" s="31" t="s">
        <v>65</v>
      </c>
      <c r="K14" s="31" t="s">
        <v>66</v>
      </c>
      <c r="L14" s="31" t="s">
        <v>67</v>
      </c>
      <c r="M14" s="30" t="s">
        <v>68</v>
      </c>
      <c r="N14" s="30" t="s">
        <v>75</v>
      </c>
      <c r="O14" s="30" t="s">
        <v>76</v>
      </c>
      <c r="P14" s="31" t="s">
        <v>77</v>
      </c>
      <c r="S14" s="31" t="s">
        <v>89</v>
      </c>
    </row>
    <row r="15" spans="1:20" x14ac:dyDescent="0.25">
      <c r="C15" s="29">
        <f>Equilibra!D15</f>
        <v>1</v>
      </c>
      <c r="D15" s="29" t="str">
        <f>Equilibra!E15</f>
        <v>Kw</v>
      </c>
      <c r="E15" s="29">
        <v>1</v>
      </c>
      <c r="F15" s="29">
        <v>-100</v>
      </c>
      <c r="G15" s="29">
        <v>1000</v>
      </c>
      <c r="H15" s="32">
        <v>-49399.723738560417</v>
      </c>
      <c r="I15" s="29">
        <v>1747.3534190421826</v>
      </c>
      <c r="J15" s="32">
        <v>-319.99420900966931</v>
      </c>
      <c r="K15" s="32">
        <v>0.81090832886902631</v>
      </c>
      <c r="L15" s="32">
        <v>0</v>
      </c>
      <c r="M15" s="32">
        <v>-3.653185045688426E-4</v>
      </c>
      <c r="N15" s="32">
        <v>0</v>
      </c>
      <c r="O15" s="32">
        <v>0</v>
      </c>
      <c r="P15" s="29">
        <v>1</v>
      </c>
      <c r="S15" s="1" t="str">
        <f>"Integer, Parameter :: Eqn_"&amp;D15&amp;"="&amp;C15</f>
        <v>Integer, Parameter :: Eqn_Kw=1</v>
      </c>
    </row>
    <row r="16" spans="1:20" x14ac:dyDescent="0.25">
      <c r="C16" s="29">
        <f>Equilibra!D16</f>
        <v>2</v>
      </c>
      <c r="D16" s="29" t="str">
        <f>Equilibra!E16</f>
        <v>K1H2SO4</v>
      </c>
      <c r="E16" s="13">
        <v>1</v>
      </c>
      <c r="F16" s="13">
        <v>-100</v>
      </c>
      <c r="G16" s="13">
        <v>1000</v>
      </c>
      <c r="H16" s="32">
        <v>0</v>
      </c>
      <c r="I16" s="29">
        <f>LN(2800)</f>
        <v>7.9373746961632952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13">
        <v>1</v>
      </c>
      <c r="S16" s="1" t="str">
        <f>"Integer, Parameter :: Eqn_"&amp;D16&amp;"="&amp;C16</f>
        <v>Integer, Parameter :: Eqn_K1H2SO4=2</v>
      </c>
    </row>
    <row r="17" spans="3:19" x14ac:dyDescent="0.25">
      <c r="C17" s="29">
        <f>Equilibra!D17</f>
        <v>3</v>
      </c>
      <c r="D17" s="29" t="str">
        <f>Equilibra!E17</f>
        <v>K2H2SO4</v>
      </c>
      <c r="E17" s="13">
        <v>1</v>
      </c>
      <c r="F17" s="13">
        <v>-100</v>
      </c>
      <c r="G17" s="13">
        <v>1000</v>
      </c>
      <c r="H17" s="32">
        <v>-5966.2205872339046</v>
      </c>
      <c r="I17" s="29">
        <v>181.01407290140557</v>
      </c>
      <c r="J17" s="32">
        <v>-29.052766299035529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13">
        <v>1</v>
      </c>
      <c r="S17" s="1" t="str">
        <f>"Integer, Parameter :: Eqn_"&amp;D17&amp;"="&amp;C17</f>
        <v>Integer, Parameter :: Eqn_K2H2SO4=3</v>
      </c>
    </row>
    <row r="18" spans="3:19" x14ac:dyDescent="0.25">
      <c r="C18" s="29">
        <f>Equilibra!D18</f>
        <v>4</v>
      </c>
      <c r="D18" s="29" t="str">
        <f>Equilibra!E18</f>
        <v>KHNO3</v>
      </c>
      <c r="E18" s="13">
        <v>1</v>
      </c>
      <c r="F18" s="13">
        <v>-100</v>
      </c>
      <c r="G18" s="13">
        <v>1000</v>
      </c>
      <c r="H18" s="32">
        <v>0</v>
      </c>
      <c r="I18" s="29">
        <v>3.15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13">
        <v>1</v>
      </c>
      <c r="S18" s="1" t="str">
        <f>"Integer, Parameter :: Eqn_"&amp;D18&amp;"="&amp;C18</f>
        <v>Integer, Parameter :: Eqn_KHNO3=4</v>
      </c>
    </row>
    <row r="19" spans="3:19" x14ac:dyDescent="0.25">
      <c r="C19" s="13">
        <f>Equilibra!D19</f>
        <v>5</v>
      </c>
      <c r="D19" s="13" t="str">
        <f>Equilibra!E19</f>
        <v>KH_H2SO4</v>
      </c>
      <c r="E19" s="13">
        <v>1</v>
      </c>
      <c r="F19" s="13">
        <v>-100</v>
      </c>
      <c r="G19" s="13">
        <v>1000</v>
      </c>
      <c r="H19" s="32">
        <v>6412.2732495366854</v>
      </c>
      <c r="I19" s="29">
        <v>-3.0545195943433945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13">
        <v>1</v>
      </c>
    </row>
    <row r="20" spans="3:19" x14ac:dyDescent="0.25">
      <c r="C20" s="13">
        <f>Equilibra!D20</f>
        <v>6</v>
      </c>
      <c r="D20" s="13" t="str">
        <f>Equilibra!E20</f>
        <v>KH_HNO3</v>
      </c>
      <c r="E20" s="13">
        <v>1</v>
      </c>
      <c r="F20" s="13">
        <v>-100</v>
      </c>
      <c r="G20" s="13">
        <v>1000</v>
      </c>
      <c r="H20" s="32">
        <v>6474.1024680661058</v>
      </c>
      <c r="I20" s="29">
        <v>-10.168996209971171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13">
        <v>1</v>
      </c>
    </row>
    <row r="21" spans="3:19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3:19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3:19" x14ac:dyDescent="0.25">
      <c r="C23" s="13"/>
      <c r="D23" s="13"/>
      <c r="E23" s="13"/>
      <c r="F23" s="13"/>
      <c r="G23" s="13"/>
      <c r="H23" s="13"/>
      <c r="I23" s="33"/>
      <c r="J23" s="13"/>
      <c r="K23" s="13"/>
      <c r="L23" s="13"/>
      <c r="M23" s="13"/>
      <c r="N23" s="13"/>
      <c r="O23" s="13"/>
      <c r="P23" s="13"/>
    </row>
    <row r="24" spans="3:19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3:19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3:19" x14ac:dyDescent="0.25">
      <c r="C26" s="13"/>
      <c r="D26" s="13"/>
      <c r="E26" s="13"/>
      <c r="F26" s="13"/>
      <c r="G26" s="13"/>
      <c r="H26" s="51"/>
      <c r="I26" s="50"/>
      <c r="J26" s="50"/>
      <c r="K26" s="13"/>
      <c r="L26" s="13"/>
      <c r="M26" s="13"/>
      <c r="N26" s="13"/>
      <c r="O26" s="13"/>
      <c r="P26" s="13"/>
    </row>
    <row r="27" spans="3:19" x14ac:dyDescent="0.25">
      <c r="C27" s="13"/>
      <c r="D27" s="13"/>
      <c r="E27" s="13"/>
      <c r="F27" s="13"/>
      <c r="G27" s="13"/>
      <c r="H27" s="52"/>
      <c r="I27" s="50"/>
      <c r="J27" s="50"/>
      <c r="K27" s="13"/>
      <c r="L27" s="13"/>
      <c r="M27" s="13"/>
      <c r="N27" s="13"/>
      <c r="O27" s="13"/>
      <c r="P27" s="13"/>
    </row>
    <row r="28" spans="3:19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3:19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3:19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3:19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3:19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3:16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3:16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3:16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3:16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3:16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3:16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3:16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3:16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3:16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3:16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3:16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3:16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3:16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3:16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</sheetData>
  <conditionalFormatting sqref="H15:O15">
    <cfRule type="cellIs" dxfId="9" priority="6" operator="equal">
      <formula>0</formula>
    </cfRule>
  </conditionalFormatting>
  <conditionalFormatting sqref="H16:O16">
    <cfRule type="cellIs" dxfId="8" priority="5" operator="equal">
      <formula>0</formula>
    </cfRule>
  </conditionalFormatting>
  <conditionalFormatting sqref="H17:O17">
    <cfRule type="cellIs" dxfId="7" priority="4" operator="equal">
      <formula>0</formula>
    </cfRule>
  </conditionalFormatting>
  <conditionalFormatting sqref="H18:O18 H20:O20 H19 J19:O19">
    <cfRule type="cellIs" dxfId="6" priority="3" operator="equal">
      <formula>0</formula>
    </cfRule>
  </conditionalFormatting>
  <conditionalFormatting sqref="I23">
    <cfRule type="cellIs" dxfId="5" priority="2" operator="equal">
      <formula>0</formula>
    </cfRule>
  </conditionalFormatting>
  <conditionalFormatting sqref="I19">
    <cfRule type="cellIs" dxfId="4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06.SaveEqThermTandPData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DD14-7BDF-4DAD-B605-DA8847696C16}">
  <sheetPr codeName="Sheet07"/>
  <dimension ref="A1:Y48"/>
  <sheetViews>
    <sheetView workbookViewId="0">
      <selection activeCell="K35" sqref="K3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7" width="12.140625" style="1" customWidth="1"/>
    <col min="8" max="14" width="9.85546875" style="1" customWidth="1"/>
    <col min="15" max="15" width="3.140625" style="1" customWidth="1"/>
    <col min="16" max="22" width="9.85546875" style="1" customWidth="1"/>
    <col min="23" max="23" width="4.7109375" style="1" customWidth="1"/>
    <col min="24" max="25" width="9.85546875" style="1" customWidth="1"/>
    <col min="26" max="16384" width="9.140625" style="1"/>
  </cols>
  <sheetData>
    <row r="1" spans="1:25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25" ht="23.25" x14ac:dyDescent="0.35">
      <c r="B2" s="8" t="s">
        <v>13</v>
      </c>
      <c r="C2" s="8"/>
      <c r="R2" s="26">
        <v>0</v>
      </c>
      <c r="S2" s="26" t="s">
        <v>100</v>
      </c>
      <c r="T2" s="26"/>
    </row>
    <row r="3" spans="1:25" x14ac:dyDescent="0.25">
      <c r="R3" s="26">
        <v>1</v>
      </c>
      <c r="S3" s="26" t="s">
        <v>101</v>
      </c>
      <c r="T3" s="26"/>
    </row>
    <row r="4" spans="1:25" x14ac:dyDescent="0.25">
      <c r="R4" s="26">
        <v>3</v>
      </c>
      <c r="S4" s="26" t="s">
        <v>102</v>
      </c>
      <c r="T4" s="26"/>
    </row>
    <row r="5" spans="1:25" x14ac:dyDescent="0.25">
      <c r="R5" s="26">
        <v>4</v>
      </c>
      <c r="S5" s="26" t="s">
        <v>103</v>
      </c>
      <c r="T5" s="26"/>
    </row>
    <row r="6" spans="1:25" x14ac:dyDescent="0.25">
      <c r="R6" s="26">
        <v>9</v>
      </c>
      <c r="S6" s="26" t="s">
        <v>104</v>
      </c>
      <c r="T6" s="26"/>
    </row>
    <row r="7" spans="1:25" x14ac:dyDescent="0.25">
      <c r="R7" s="26"/>
      <c r="S7" s="26"/>
      <c r="T7" s="26"/>
    </row>
    <row r="8" spans="1:25" x14ac:dyDescent="0.25">
      <c r="R8" s="26"/>
      <c r="S8" s="26"/>
      <c r="T8" s="26"/>
    </row>
    <row r="12" spans="1:25" x14ac:dyDescent="0.25">
      <c r="C12" s="26"/>
      <c r="D12" s="27" t="s">
        <v>70</v>
      </c>
      <c r="E12" s="27"/>
      <c r="F12" s="27"/>
      <c r="G12" s="27"/>
      <c r="H12" s="26"/>
      <c r="I12" s="26"/>
      <c r="J12" s="26"/>
      <c r="K12" s="26"/>
      <c r="L12" s="26"/>
      <c r="M12" s="26"/>
      <c r="N12" s="26"/>
      <c r="O12" s="26"/>
      <c r="P12" s="26"/>
    </row>
    <row r="13" spans="1:25" x14ac:dyDescent="0.25">
      <c r="C13" s="28">
        <f>COUNTA(C15:C231)</f>
        <v>6</v>
      </c>
      <c r="D13" s="26"/>
      <c r="E13" s="26"/>
      <c r="F13" s="26"/>
      <c r="G13" s="26"/>
      <c r="H13" s="27" t="s">
        <v>105</v>
      </c>
      <c r="I13" s="26"/>
      <c r="J13" s="26"/>
      <c r="K13" s="26"/>
      <c r="L13" s="26"/>
      <c r="M13" s="26"/>
      <c r="N13" s="26"/>
      <c r="O13" s="26"/>
      <c r="P13" s="27" t="s">
        <v>106</v>
      </c>
      <c r="X13" s="35" t="s">
        <v>107</v>
      </c>
    </row>
    <row r="14" spans="1:25" ht="15.75" thickBot="1" x14ac:dyDescent="0.3">
      <c r="C14" s="30" t="s">
        <v>71</v>
      </c>
      <c r="D14" s="30" t="s">
        <v>15</v>
      </c>
      <c r="E14" s="30" t="s">
        <v>72</v>
      </c>
      <c r="F14" s="30" t="s">
        <v>73</v>
      </c>
      <c r="G14" s="30" t="s">
        <v>74</v>
      </c>
      <c r="H14" s="36" t="s">
        <v>91</v>
      </c>
      <c r="I14" s="36" t="s">
        <v>92</v>
      </c>
      <c r="J14" s="36" t="s">
        <v>93</v>
      </c>
      <c r="K14" s="36" t="s">
        <v>94</v>
      </c>
      <c r="L14" s="36" t="s">
        <v>95</v>
      </c>
      <c r="M14" s="36" t="s">
        <v>96</v>
      </c>
      <c r="N14" s="36" t="s">
        <v>97</v>
      </c>
      <c r="O14" s="34"/>
      <c r="P14" s="37" t="s">
        <v>91</v>
      </c>
      <c r="Q14" s="37" t="s">
        <v>92</v>
      </c>
      <c r="R14" s="37" t="s">
        <v>93</v>
      </c>
      <c r="S14" s="37" t="s">
        <v>94</v>
      </c>
      <c r="T14" s="37" t="s">
        <v>95</v>
      </c>
      <c r="U14" s="37" t="s">
        <v>96</v>
      </c>
      <c r="V14" s="37" t="s">
        <v>97</v>
      </c>
      <c r="W14" s="34"/>
      <c r="X14" s="38" t="s">
        <v>98</v>
      </c>
      <c r="Y14" s="38" t="s">
        <v>99</v>
      </c>
    </row>
    <row r="15" spans="1:25" x14ac:dyDescent="0.25">
      <c r="C15" s="29">
        <f>Eq_T!C15</f>
        <v>1</v>
      </c>
      <c r="D15" s="29" t="str">
        <f>Eq_T!D15</f>
        <v>Kw</v>
      </c>
      <c r="E15" s="29">
        <f>Eq_T!E15</f>
        <v>1</v>
      </c>
      <c r="F15" s="29">
        <f>Eq_T!F15</f>
        <v>-100</v>
      </c>
      <c r="G15" s="29">
        <f>Eq_T!G15</f>
        <v>1000</v>
      </c>
      <c r="H15" s="13">
        <v>-25.035</v>
      </c>
      <c r="I15" s="13">
        <v>0.16614999999999999</v>
      </c>
      <c r="J15" s="13">
        <v>-2.6779999999999998E-3</v>
      </c>
      <c r="K15" s="13">
        <v>1.4916000000000001E-5</v>
      </c>
      <c r="L15" s="13">
        <v>-4.2995999999999997E-8</v>
      </c>
      <c r="M15" s="13">
        <v>0</v>
      </c>
      <c r="N15" s="13">
        <v>3</v>
      </c>
      <c r="O15" s="13"/>
      <c r="P15" s="13">
        <v>-6.9481999999999999</v>
      </c>
      <c r="Q15" s="13">
        <v>9.9003999999999995E-2</v>
      </c>
      <c r="R15" s="13">
        <v>0</v>
      </c>
      <c r="S15" s="13">
        <v>0</v>
      </c>
      <c r="T15" s="13">
        <v>0</v>
      </c>
      <c r="U15" s="13">
        <v>0</v>
      </c>
      <c r="V15" s="13">
        <v>3</v>
      </c>
      <c r="W15" s="13"/>
      <c r="X15" s="13">
        <v>0</v>
      </c>
      <c r="Y15" s="13">
        <v>0</v>
      </c>
    </row>
    <row r="16" spans="1:25" x14ac:dyDescent="0.25">
      <c r="C16" s="29">
        <f>Eq_T!C16</f>
        <v>2</v>
      </c>
      <c r="D16" s="29" t="str">
        <f>Eq_T!D16</f>
        <v>K1H2SO4</v>
      </c>
      <c r="E16" s="29">
        <f>Eq_T!E16</f>
        <v>1</v>
      </c>
      <c r="F16" s="29">
        <f>Eq_T!F16</f>
        <v>-100</v>
      </c>
      <c r="G16" s="29">
        <f>Eq_T!G16</f>
        <v>1000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3">
        <v>0</v>
      </c>
      <c r="O16" s="32"/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/>
      <c r="X16" s="13">
        <v>0</v>
      </c>
      <c r="Y16" s="13">
        <v>0</v>
      </c>
    </row>
    <row r="17" spans="3:25" x14ac:dyDescent="0.25">
      <c r="C17" s="29">
        <f>Eq_T!C17</f>
        <v>3</v>
      </c>
      <c r="D17" s="29" t="str">
        <f>Eq_T!D17</f>
        <v>K2H2SO4</v>
      </c>
      <c r="E17" s="29">
        <f>Eq_T!E17</f>
        <v>1</v>
      </c>
      <c r="F17" s="29">
        <f>Eq_T!F17</f>
        <v>-100</v>
      </c>
      <c r="G17" s="29">
        <f>Eq_T!G17</f>
        <v>1000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3">
        <v>0</v>
      </c>
      <c r="O17" s="32"/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/>
      <c r="X17" s="13">
        <v>0</v>
      </c>
      <c r="Y17" s="13">
        <v>0</v>
      </c>
    </row>
    <row r="18" spans="3:25" x14ac:dyDescent="0.25">
      <c r="C18" s="29">
        <f>Eq_T!C18</f>
        <v>4</v>
      </c>
      <c r="D18" s="29" t="str">
        <f>Eq_T!D18</f>
        <v>KHNO3</v>
      </c>
      <c r="E18" s="29">
        <f>Eq_T!E18</f>
        <v>1</v>
      </c>
      <c r="F18" s="29">
        <f>Eq_T!F18</f>
        <v>-100</v>
      </c>
      <c r="G18" s="29">
        <f>Eq_T!G18</f>
        <v>1000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3">
        <v>0</v>
      </c>
      <c r="O18" s="32"/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/>
      <c r="X18" s="13">
        <v>0</v>
      </c>
      <c r="Y18" s="13">
        <v>0</v>
      </c>
    </row>
    <row r="19" spans="3:25" x14ac:dyDescent="0.25">
      <c r="C19" s="29">
        <f>Eq_T!C19</f>
        <v>5</v>
      </c>
      <c r="D19" s="29" t="str">
        <f>Eq_T!D19</f>
        <v>KH_H2SO4</v>
      </c>
      <c r="E19" s="29">
        <f>Eq_T!E19</f>
        <v>1</v>
      </c>
      <c r="F19" s="29">
        <f>Eq_T!F19</f>
        <v>-100</v>
      </c>
      <c r="G19" s="29">
        <f>Eq_T!G19</f>
        <v>1000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3">
        <v>0</v>
      </c>
      <c r="O19" s="32"/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/>
      <c r="X19" s="13">
        <v>0</v>
      </c>
      <c r="Y19" s="13">
        <v>0</v>
      </c>
    </row>
    <row r="20" spans="3:25" x14ac:dyDescent="0.25">
      <c r="C20" s="29">
        <f>Eq_T!C20</f>
        <v>6</v>
      </c>
      <c r="D20" s="29" t="str">
        <f>Eq_T!D20</f>
        <v>KH_HNO3</v>
      </c>
      <c r="E20" s="29">
        <f>Eq_T!E20</f>
        <v>1</v>
      </c>
      <c r="F20" s="29">
        <f>Eq_T!F20</f>
        <v>-100</v>
      </c>
      <c r="G20" s="29">
        <f>Eq_T!G20</f>
        <v>1000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3">
        <v>0</v>
      </c>
      <c r="O20" s="32"/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/>
      <c r="X20" s="13">
        <v>0</v>
      </c>
      <c r="Y20" s="13">
        <v>0</v>
      </c>
    </row>
    <row r="21" spans="3:25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3:25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3:25" x14ac:dyDescent="0.25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3:25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3:25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3:25" x14ac:dyDescent="0.2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3:25" x14ac:dyDescent="0.25"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3:25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3:25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3:25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3:25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3:25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3:25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3:25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3:25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3:25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3:25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3:25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3:25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3:25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3:25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  <row r="42" spans="3:25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</row>
    <row r="43" spans="3:25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</row>
    <row r="44" spans="3:25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</row>
    <row r="45" spans="3:25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</row>
    <row r="46" spans="3:25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</row>
    <row r="47" spans="3:25" x14ac:dyDescent="0.25"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</row>
    <row r="48" spans="3:25" x14ac:dyDescent="0.2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</row>
  </sheetData>
  <conditionalFormatting sqref="H15:O15">
    <cfRule type="cellIs" dxfId="3" priority="4" operator="equal">
      <formula>0</formula>
    </cfRule>
  </conditionalFormatting>
  <conditionalFormatting sqref="H16:O16 H17:M20">
    <cfRule type="cellIs" dxfId="2" priority="3" operator="equal">
      <formula>0</formula>
    </cfRule>
  </conditionalFormatting>
  <conditionalFormatting sqref="N17:O17">
    <cfRule type="cellIs" dxfId="1" priority="2" operator="equal">
      <formula>0</formula>
    </cfRule>
  </conditionalFormatting>
  <conditionalFormatting sqref="N18:O20">
    <cfRule type="cellIs" dxfId="0" priority="1" operator="equal">
      <formula>0</formula>
    </cfRule>
  </conditionalFormatting>
  <pageMargins left="0.7" right="0.7" top="0.75" bottom="0.75" header="0.3" footer="0.3"/>
  <ignoredErrors>
    <ignoredError sqref="E16:G18 C13 E15:G15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02.SaveAqSpecies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46254CC3DCC2243829C0114955FFFDC" ma:contentTypeVersion="20" ma:contentTypeDescription="Create a new document." ma:contentTypeScope="" ma:versionID="2390134c84f9bf37829b2005d6a17821">
  <xsd:schema xmlns:xsd="http://www.w3.org/2001/XMLSchema" xmlns:xs="http://www.w3.org/2001/XMLSchema" xmlns:p="http://schemas.microsoft.com/office/2006/metadata/properties" xmlns:ns2="0b8dc557-2c0f-45b0-8a94-30b051e149ac" xmlns:ns3="5b4e24bb-367d-45dc-b637-097f3fb44482" xmlns:ns4="d8a3ff31-0bf5-4b05-89dd-c9d0dcb2535f" targetNamespace="http://schemas.microsoft.com/office/2006/metadata/properties" ma:root="true" ma:fieldsID="fc7cdf7d57ba6ec4f3e177b329bfadc6" ns2:_="" ns3:_="" ns4:_="">
    <xsd:import namespace="0b8dc557-2c0f-45b0-8a94-30b051e149ac"/>
    <xsd:import namespace="5b4e24bb-367d-45dc-b637-097f3fb44482"/>
    <xsd:import namespace="d8a3ff31-0bf5-4b05-89dd-c9d0dcb2535f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2:SharedWithUsers" minOccurs="0"/>
                <xsd:element ref="ns2:SharedWithDetails" minOccurs="0"/>
                <xsd:element ref="ns2:j463fd55c1e24278acd7d668b68aa43a" minOccurs="0"/>
                <xsd:element ref="ns4:MediaServiceObjectDetectorVersions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SearchProperties" minOccurs="0"/>
                <xsd:element ref="ns4:MediaServiceBillingMetadata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8dc557-2c0f-45b0-8a94-30b051e149ac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6;#TECHNOLOGY DIGITAL ＆ INNOVATION (TDI)|90177810-19d5-40f0-8fda-8eb6a1357ee0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7;#Norway|cd21f0fc-a0f3-48c6-8f36-ae1c60534e37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1;#Technology development and qualification results documentation|1dc0fd69-270f-4253-8578-d31ba81855ea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Technology development and implementation (TDI)|01afcb3b-5eca-414e-9ead-1d3cb7205fcb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ology development and implementation|dc35df5a-637b-4931-aa8a-8ad4f87f1407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10;#Restricted|2778d0cb-d518-40da-b77b-8925576cf660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j463fd55c1e24278acd7d668b68aa43a" ma:index="32" nillable="true" ma:taxonomy="true" ma:internalName="j463fd55c1e24278acd7d668b68aa43a" ma:taxonomyFieldName="EIMOrganisationUnit" ma:displayName="Organisation Unit" ma:default="12;#TDI EMERGING AND FUTURE BUSINESS (TDI EFB)|3c50ca31-343a-4f74-bdb6-2f7078209a65" ma:fieldId="{3463fd55-c1e2-4278-acd7-d668b68aa43a}" ma:sspId="02f74cf1-ae9f-400d-bc52-3bcd3a9e177f" ma:termSetId="f36a540b-7bb7-4142-ae76-bc96ba0f7f0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459b0f03-dded-4fa7-8604-c43881ca5c34}" ma:internalName="TaxCatchAll" ma:showField="CatchAllData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459b0f03-dded-4fa7-8604-c43881ca5c34}" ma:internalName="TaxCatchAllLabel" ma:readOnly="true" ma:showField="CatchAllDataLabel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a3ff31-0bf5-4b05-89dd-c9d0dcb25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3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40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4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4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3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44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02f74cf1-ae9f-400d-bc52-3bcd3a9e177f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9e92212f5fa42fa9b52bc2f3224e0af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2778d0cb-d518-40da-b77b-8925576cf660</TermId>
        </TermInfo>
      </Terms>
    </b519d5ff8fc64ffea9cb9a4c0b377271>
    <d632f762b19c46329b06e4a329cb5038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TaxCatchAll xmlns="5b4e24bb-367d-45dc-b637-097f3fb44482">
      <Value>12</Value>
      <Value>11</Value>
      <Value>10</Value>
      <Value>9</Value>
      <Value>8</Value>
      <Value>7</Value>
      <Value>6</Value>
      <Value>3</Value>
      <Value>2</Value>
      <Value>1</Value>
    </TaxCatchAll>
    <mbf6ec96a4d94feeaf76fee4d5d0c80e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c71f94430ee24530b6af52dc58e8598c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qualification results documentation</TermName>
          <TermId xmlns="http://schemas.microsoft.com/office/infopath/2007/PartnerControls">1dc0fd69-270f-4253-8578-d31ba81855ea</TermId>
        </TermInfo>
      </Terms>
    </c71f94430ee24530b6af52dc58e8598c>
    <lcf76f155ced4ddcb4097134ff3c332f xmlns="d8a3ff31-0bf5-4b05-89dd-c9d0dcb2535f">
      <Terms xmlns="http://schemas.microsoft.com/office/infopath/2007/PartnerControls"/>
    </lcf76f155ced4ddcb4097134ff3c332f>
    <hfb23c77fa4f4618a5f446ac03ac12a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 (TDI)</TermName>
          <TermId xmlns="http://schemas.microsoft.com/office/infopath/2007/PartnerControls">01afcb3b-5eca-414e-9ead-1d3cb7205fcb</TermId>
        </TermInfo>
      </Terms>
    </hfb23c77fa4f4618a5f446ac03ac12ab>
    <gd56e2644879487f8da67586944cf0f5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g971e9ce8060489b80a056801d36d93d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</TermName>
          <TermId xmlns="http://schemas.microsoft.com/office/infopath/2007/PartnerControls">dc35df5a-637b-4931-aa8a-8ad4f87f1407</TermId>
        </TermInfo>
      </Terms>
    </g971e9ce8060489b80a056801d36d93d>
    <j463fd55c1e24278acd7d668b68aa43a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TDI EMERGING AND FUTURE BUSINESS (TDI EFB)</TermName>
          <TermId xmlns="http://schemas.microsoft.com/office/infopath/2007/PartnerControls">3c50ca31-343a-4f74-bdb6-2f7078209a65</TermId>
        </TermInfo>
      </Terms>
    </j463fd55c1e24278acd7d668b68aa43a>
  </documentManagement>
</p:properties>
</file>

<file path=customXml/itemProps1.xml><?xml version="1.0" encoding="utf-8"?>
<ds:datastoreItem xmlns:ds="http://schemas.openxmlformats.org/officeDocument/2006/customXml" ds:itemID="{79657EC5-57EC-4118-940B-664CFF9E2261}"/>
</file>

<file path=customXml/itemProps2.xml><?xml version="1.0" encoding="utf-8"?>
<ds:datastoreItem xmlns:ds="http://schemas.openxmlformats.org/officeDocument/2006/customXml" ds:itemID="{6FFC716F-0F8F-4AB1-B45E-7467CF51FDC1}"/>
</file>

<file path=customXml/itemProps3.xml><?xml version="1.0" encoding="utf-8"?>
<ds:datastoreItem xmlns:ds="http://schemas.openxmlformats.org/officeDocument/2006/customXml" ds:itemID="{140B6B04-BBE0-468C-ABC2-5124A32E7F27}"/>
</file>

<file path=customXml/itemProps4.xml><?xml version="1.0" encoding="utf-8"?>
<ds:datastoreItem xmlns:ds="http://schemas.openxmlformats.org/officeDocument/2006/customXml" ds:itemID="{E37C8DCF-C6A1-4657-B673-D9E1D72026EC}"/>
</file>

<file path=docMetadata/LabelInfo.xml><?xml version="1.0" encoding="utf-8"?>
<clbl:labelList xmlns:clbl="http://schemas.microsoft.com/office/2020/mipLabelMetadata">
  <clbl:label id="{046c756f-26af-49d7-8b14-b166fcf3e7d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28</vt:i4>
      </vt:variant>
    </vt:vector>
  </HeadingPairs>
  <TitlesOfParts>
    <vt:vector size="39" baseType="lpstr">
      <vt:lpstr>About</vt:lpstr>
      <vt:lpstr>AqSpecies</vt:lpstr>
      <vt:lpstr>Vol</vt:lpstr>
      <vt:lpstr>Solventdata</vt:lpstr>
      <vt:lpstr>GasData</vt:lpstr>
      <vt:lpstr>GasRx</vt:lpstr>
      <vt:lpstr>EOS_Input</vt:lpstr>
      <vt:lpstr>Equilibra</vt:lpstr>
      <vt:lpstr>GasSolub</vt:lpstr>
      <vt:lpstr>Eq_T</vt:lpstr>
      <vt:lpstr>Eq_P</vt:lpstr>
      <vt:lpstr>AqSpeciesFileName</vt:lpstr>
      <vt:lpstr>AqSpecieVol</vt:lpstr>
      <vt:lpstr>DataFilePath</vt:lpstr>
      <vt:lpstr>DefEQFIleName</vt:lpstr>
      <vt:lpstr>EOSBinData</vt:lpstr>
      <vt:lpstr>EOSData</vt:lpstr>
      <vt:lpstr>GasReactionFile</vt:lpstr>
      <vt:lpstr>GasSolubDataFile</vt:lpstr>
      <vt:lpstr>GasThermoData</vt:lpstr>
      <vt:lpstr>Mw_C</vt:lpstr>
      <vt:lpstr>Mw_H</vt:lpstr>
      <vt:lpstr>Mw_N</vt:lpstr>
      <vt:lpstr>Mw_O</vt:lpstr>
      <vt:lpstr>Mw_S</vt:lpstr>
      <vt:lpstr>N_aq_EQ_Species</vt:lpstr>
      <vt:lpstr>N_Datafiles</vt:lpstr>
      <vt:lpstr>N_def_EQ</vt:lpstr>
      <vt:lpstr>N_Paths</vt:lpstr>
      <vt:lpstr>N_Rx</vt:lpstr>
      <vt:lpstr>N_VolData</vt:lpstr>
      <vt:lpstr>NEOSComp</vt:lpstr>
      <vt:lpstr>NGasComp</vt:lpstr>
      <vt:lpstr>No_EQ</vt:lpstr>
      <vt:lpstr>NoAqSpecies</vt:lpstr>
      <vt:lpstr>NoGasSpecies</vt:lpstr>
      <vt:lpstr>PathFileName</vt:lpstr>
      <vt:lpstr>ThermdataFileName</vt:lpstr>
      <vt:lpstr>WaterSolventData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Baard Kaasa</dc:creator>
  <cp:lastModifiedBy>Baard Kaasa</cp:lastModifiedBy>
  <dcterms:created xsi:type="dcterms:W3CDTF">2015-06-05T18:19:34Z</dcterms:created>
  <dcterms:modified xsi:type="dcterms:W3CDTF">2025-10-28T11:29:12Z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0x01010021A623C39873404E8BA89587BD4428B40100946254CC3DCC2243829C0114955FFFDC</vt:lpwstr>
  </property>
</Properties>
</file>