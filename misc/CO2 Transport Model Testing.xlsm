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ard\Dropbox\Scale Consult\Projects\2024\SC2420 Equinor CO2 transport model\08 Model\"/>
    </mc:Choice>
  </mc:AlternateContent>
  <xr:revisionPtr revIDLastSave="0" documentId="13_ncr:1_{5EF8DFFE-922A-4872-8727-762E9DB62024}" xr6:coauthVersionLast="47" xr6:coauthVersionMax="47" xr10:uidLastSave="{00000000-0000-0000-0000-000000000000}"/>
  <bookViews>
    <workbookView xWindow="13170" yWindow="6255" windowWidth="43200" windowHeight="23325" tabRatio="754" firstSheet="1" activeTab="1" xr2:uid="{00000000-000D-0000-FFFF-FFFF00000000}"/>
  </bookViews>
  <sheets>
    <sheet name="About" sheetId="1" r:id="rId1"/>
    <sheet name="WaterCalc" sheetId="10" r:id="rId2"/>
    <sheet name="Sheet1" sheetId="11" r:id="rId3"/>
  </sheets>
  <definedNames>
    <definedName name="CalcTypeInclude">WaterCalc!$N$19</definedName>
    <definedName name="CompNames">WaterCalc!$D$11</definedName>
    <definedName name="CurrentN">#REF!</definedName>
    <definedName name="GasStreamMoles">WaterCalc!$E$11</definedName>
    <definedName name="Input_P">#REF!</definedName>
    <definedName name="Input_Tc">#REF!</definedName>
    <definedName name="Input_TK">#REF!</definedName>
    <definedName name="InputFileName">WaterCalc!$D$4</definedName>
    <definedName name="InputFilePath">WaterCalc!$D$3</definedName>
    <definedName name="N_CalcOptions">WaterCalc!$L$18</definedName>
    <definedName name="N_Profile">WaterCalc!$E$30</definedName>
    <definedName name="NegWarning">#REF!</definedName>
    <definedName name="NewN">#REF!</definedName>
    <definedName name="NGasComp">WaterCalc!$C$10</definedName>
    <definedName name="Nmole_tot">#REF!</definedName>
    <definedName name="NReactions">WaterCalc!$L$10</definedName>
    <definedName name="PT_Profile">WaterCalc!$C$32</definedName>
    <definedName name="RxInclude">WaterCalc!$N$11</definedName>
    <definedName name="SET_Path">About!$D$8</definedName>
    <definedName name="solver_adj" localSheetId="1" hidden="1">WaterCalc!#REF!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WaterCalc!#REF!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Steps">#REF!</definedName>
    <definedName name="Stream2Moles">WaterCalc!$G$11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4" i="10" l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R28" i="10"/>
  <c r="R29" i="10"/>
  <c r="R30" i="10"/>
  <c r="R31" i="10"/>
  <c r="R32" i="10"/>
  <c r="R33" i="10"/>
  <c r="R34" i="10"/>
  <c r="R35" i="10"/>
  <c r="R36" i="10"/>
  <c r="R37" i="10"/>
  <c r="R27" i="10"/>
  <c r="T17" i="10" l="1"/>
  <c r="T16" i="10"/>
  <c r="U21" i="10" l="1"/>
  <c r="T21" i="10"/>
  <c r="V21" i="10" s="1"/>
  <c r="T28" i="10" s="1"/>
  <c r="T20" i="10"/>
  <c r="U20" i="10"/>
  <c r="V20" i="10" l="1"/>
  <c r="T36" i="10" s="1"/>
  <c r="E12" i="10"/>
  <c r="T10" i="10" l="1"/>
  <c r="T11" i="10" s="1"/>
  <c r="U17" i="10" l="1"/>
  <c r="U16" i="10"/>
  <c r="V16" i="10" s="1"/>
  <c r="S35" i="10" s="1"/>
  <c r="E25" i="10"/>
  <c r="E23" i="10"/>
  <c r="V17" i="10" l="1"/>
  <c r="S28" i="10" s="1"/>
  <c r="G12" i="10" s="1" a="1"/>
  <c r="G12" i="10" s="1"/>
  <c r="F21" i="10"/>
  <c r="F20" i="10"/>
  <c r="F19" i="10"/>
  <c r="F18" i="10"/>
  <c r="F17" i="10"/>
  <c r="F16" i="10"/>
  <c r="F15" i="10"/>
  <c r="F14" i="10"/>
  <c r="F22" i="10"/>
  <c r="E26" i="10"/>
  <c r="F13" i="10"/>
  <c r="F12" i="10"/>
  <c r="V18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<sst xmlns="http://schemas.openxmlformats.org/spreadsheetml/2006/main" count="100" uniqueCount="74">
  <si>
    <t>CO2 Transport model testing</t>
  </si>
  <si>
    <t>Date:</t>
  </si>
  <si>
    <t xml:space="preserve">Path: </t>
  </si>
  <si>
    <t>C:\Users\baard\Dropbox\Scale Consult\Projects\2024\SC2420 Equinor CO2 transport model\08 Model</t>
  </si>
  <si>
    <t xml:space="preserve">File: </t>
  </si>
  <si>
    <t>CalcInput.dat</t>
  </si>
  <si>
    <t xml:space="preserve">P: </t>
  </si>
  <si>
    <t>bar</t>
  </si>
  <si>
    <t>Help calculations, do not touch!</t>
  </si>
  <si>
    <t xml:space="preserve">T: </t>
  </si>
  <si>
    <t>°C</t>
  </si>
  <si>
    <t>P</t>
  </si>
  <si>
    <t>n</t>
  </si>
  <si>
    <t>GasStream</t>
  </si>
  <si>
    <t xml:space="preserve">Mass: </t>
  </si>
  <si>
    <t>kg</t>
  </si>
  <si>
    <t>R</t>
  </si>
  <si>
    <t>Stream2</t>
  </si>
  <si>
    <t>T</t>
  </si>
  <si>
    <t>No</t>
  </si>
  <si>
    <t>Name</t>
  </si>
  <si>
    <t>Moles</t>
  </si>
  <si>
    <t>ppm</t>
  </si>
  <si>
    <t>H2SO4</t>
  </si>
  <si>
    <t>Mw</t>
  </si>
  <si>
    <t>Reactions</t>
  </si>
  <si>
    <t>Include</t>
  </si>
  <si>
    <t>V</t>
  </si>
  <si>
    <t>CO2</t>
  </si>
  <si>
    <t>NO2 + SO2 + H2O = NO + H2SO4</t>
  </si>
  <si>
    <t>H2O</t>
  </si>
  <si>
    <t>2NO + O2 = 2NO2</t>
  </si>
  <si>
    <t>N2</t>
  </si>
  <si>
    <t>H2S + 3NO2 = SO2 + H2O + 3NO</t>
  </si>
  <si>
    <t>O2</t>
  </si>
  <si>
    <t>8H2S + 4O2 = 8H2O + S8</t>
  </si>
  <si>
    <t>wt%</t>
  </si>
  <si>
    <t>H2S</t>
  </si>
  <si>
    <t>3NO2 + H2O = 2HNO3 + NO</t>
  </si>
  <si>
    <t>NO</t>
  </si>
  <si>
    <t>NO2</t>
  </si>
  <si>
    <t>SO2</t>
  </si>
  <si>
    <t>CalcNo</t>
  </si>
  <si>
    <t>CalcType</t>
  </si>
  <si>
    <t>Calc fugacity</t>
  </si>
  <si>
    <t>HNO3</t>
  </si>
  <si>
    <t>Calc thermo</t>
  </si>
  <si>
    <t>S8</t>
  </si>
  <si>
    <t>Calc gas reactions</t>
  </si>
  <si>
    <t>SUM</t>
  </si>
  <si>
    <t>Calc water phase</t>
  </si>
  <si>
    <t>Run profile</t>
  </si>
  <si>
    <t>Mass:</t>
  </si>
  <si>
    <t>Gas vol:</t>
  </si>
  <si>
    <t>Sm3</t>
  </si>
  <si>
    <t>User guide:</t>
  </si>
  <si>
    <t>Profile data</t>
  </si>
  <si>
    <t>Include:</t>
  </si>
  <si>
    <t>1. Enter gas composition in column "Moles" in the above table. Only blue numbers</t>
  </si>
  <si>
    <t>2. Select which gas reactions you want to include</t>
  </si>
  <si>
    <t>P (bar)</t>
  </si>
  <si>
    <t>T(°C)</t>
  </si>
  <si>
    <t>3. Click on the red box and select type of stream 2</t>
  </si>
  <si>
    <t>4. Sett mass rate of stream 2, if set to 0 kg there is no stream 2</t>
  </si>
  <si>
    <t>5. Select which calculations you want to include</t>
  </si>
  <si>
    <t>6. If you select "Run profile", enter number of points in profile and P and T</t>
  </si>
  <si>
    <t>7. If you dont select "Run profile", enter P and T in the boxes in D6 and D7.</t>
  </si>
  <si>
    <t>Density</t>
  </si>
  <si>
    <t>H2O (ppm)</t>
  </si>
  <si>
    <t>H2SO4 (ppb)</t>
  </si>
  <si>
    <t>HNO3 (ppm)</t>
  </si>
  <si>
    <t>H2O (ppm) 25C</t>
  </si>
  <si>
    <t>H2O (ppm) 50C</t>
  </si>
  <si>
    <t>H2O in CO2 above 69% HNOe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</si>
</sst>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#,##0.00000"/>
    <numFmt numFmtId="166" formatCode="#,##0.0000"/>
    <numFmt numFmtId="167" formatCode="#,##0.0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b/>
      <i/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660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sz val="11"/>
      <color rgb="FF0066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2" borderId="0" xfId="0" applyFill="1"/>
    <xf numFmtId="0" fontId="2" fillId="2" borderId="0" xfId="0" applyFont="1" applyFill="1"/>
    <xf numFmtId="14" fontId="3" fillId="2" borderId="0" xfId="0" applyNumberFormat="1" applyFont="1" applyFill="1"/>
    <xf numFmtId="0" fontId="1" fillId="3" borderId="1" xfId="0" applyFont="1" applyFill="1" applyBorder="1"/>
    <xf numFmtId="0" fontId="0" fillId="2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0" xfId="0" applyFont="1" applyFill="1" applyAlignment="1">
      <alignment horizontal="right"/>
    </xf>
    <xf numFmtId="0" fontId="6" fillId="2" borderId="0" xfId="0" applyFont="1" applyFill="1" applyAlignment="1">
      <alignment horizontal="center"/>
    </xf>
    <xf numFmtId="3" fontId="0" fillId="2" borderId="0" xfId="0" applyNumberFormat="1" applyFill="1"/>
    <xf numFmtId="0" fontId="7" fillId="2" borderId="0" xfId="0" applyFont="1" applyFill="1"/>
    <xf numFmtId="0" fontId="0" fillId="2" borderId="2" xfId="0" applyFill="1" applyBorder="1" applyAlignment="1">
      <alignment horizontal="center"/>
    </xf>
    <xf numFmtId="0" fontId="7" fillId="2" borderId="2" xfId="0" applyFont="1" applyFill="1" applyBorder="1"/>
    <xf numFmtId="0" fontId="0" fillId="2" borderId="2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3" fontId="0" fillId="2" borderId="0" xfId="0" applyNumberFormat="1" applyFill="1" applyAlignment="1">
      <alignment horizontal="center"/>
    </xf>
    <xf numFmtId="3" fontId="0" fillId="2" borderId="2" xfId="0" applyNumberFormat="1" applyFill="1" applyBorder="1" applyAlignment="1">
      <alignment horizontal="center"/>
    </xf>
    <xf numFmtId="11" fontId="0" fillId="2" borderId="0" xfId="0" applyNumberFormat="1" applyFill="1"/>
    <xf numFmtId="0" fontId="1" fillId="2" borderId="0" xfId="0" applyFont="1" applyFill="1"/>
    <xf numFmtId="0" fontId="1" fillId="5" borderId="1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8" fillId="2" borderId="0" xfId="0" applyFont="1" applyFill="1"/>
    <xf numFmtId="3" fontId="4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165" fontId="0" fillId="2" borderId="0" xfId="0" applyNumberFormat="1" applyFill="1"/>
    <xf numFmtId="0" fontId="0" fillId="2" borderId="8" xfId="0" applyFill="1" applyBorder="1"/>
    <xf numFmtId="0" fontId="0" fillId="2" borderId="9" xfId="0" applyFill="1" applyBorder="1"/>
    <xf numFmtId="0" fontId="9" fillId="2" borderId="3" xfId="0" applyFont="1" applyFill="1" applyBorder="1"/>
    <xf numFmtId="0" fontId="10" fillId="2" borderId="0" xfId="0" applyFont="1" applyFill="1"/>
    <xf numFmtId="0" fontId="8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0" fillId="2" borderId="2" xfId="0" applyFill="1" applyBorder="1" applyAlignment="1">
      <alignment horizontal="left"/>
    </xf>
    <xf numFmtId="0" fontId="0" fillId="2" borderId="2" xfId="0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3" fontId="3" fillId="2" borderId="0" xfId="0" applyNumberFormat="1" applyFont="1" applyFill="1" applyAlignment="1">
      <alignment horizontal="center"/>
    </xf>
    <xf numFmtId="3" fontId="6" fillId="2" borderId="0" xfId="0" applyNumberFormat="1" applyFont="1" applyFill="1" applyAlignment="1">
      <alignment horizontal="center"/>
    </xf>
    <xf numFmtId="3" fontId="6" fillId="2" borderId="2" xfId="0" applyNumberFormat="1" applyFont="1" applyFill="1" applyBorder="1" applyAlignment="1">
      <alignment horizontal="center"/>
    </xf>
    <xf numFmtId="164" fontId="0" fillId="2" borderId="0" xfId="0" applyNumberFormat="1" applyFill="1"/>
    <xf numFmtId="167" fontId="0" fillId="2" borderId="0" xfId="0" applyNumberFormat="1" applyFill="1" applyAlignment="1">
      <alignment horizontal="center"/>
    </xf>
    <xf numFmtId="167" fontId="0" fillId="2" borderId="2" xfId="0" applyNumberForma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1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H2O in CO2 above</a:t>
            </a:r>
            <a:r>
              <a:rPr lang="nb-NO" baseline="0"/>
              <a:t> 96% H2SO4</a:t>
            </a:r>
            <a:endParaRPr lang="nb-NO"/>
          </a:p>
        </c:rich>
      </c:tx>
      <c:layout>
        <c:manualLayout>
          <c:xMode val="edge"/>
          <c:yMode val="edge"/>
          <c:x val="0.14992344706911639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3970603674540683"/>
          <c:y val="0.17171296296296296"/>
          <c:w val="0.80177974628171478"/>
          <c:h val="0.65512357830271217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H2O (ppm) 25C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Sheet1!$T$11:$T$30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</c:numCache>
            </c:numRef>
          </c:xVal>
          <c:yVal>
            <c:numRef>
              <c:f>Sheet1!$U$11:$U$30</c:f>
              <c:numCache>
                <c:formatCode>General</c:formatCode>
                <c:ptCount val="20"/>
                <c:pt idx="0">
                  <c:v>21.215070000000001</c:v>
                </c:pt>
                <c:pt idx="1">
                  <c:v>11.50257</c:v>
                </c:pt>
                <c:pt idx="2">
                  <c:v>6.6081899999999996</c:v>
                </c:pt>
                <c:pt idx="3">
                  <c:v>5.0918099999999997</c:v>
                </c:pt>
                <c:pt idx="4">
                  <c:v>4.49031</c:v>
                </c:pt>
                <c:pt idx="5">
                  <c:v>4.3597700000000001</c:v>
                </c:pt>
                <c:pt idx="6">
                  <c:v>15.606490000000001</c:v>
                </c:pt>
                <c:pt idx="7">
                  <c:v>18.107939999999999</c:v>
                </c:pt>
                <c:pt idx="8">
                  <c:v>19.58445</c:v>
                </c:pt>
                <c:pt idx="9">
                  <c:v>20.671220000000002</c:v>
                </c:pt>
                <c:pt idx="10">
                  <c:v>21.532309999999999</c:v>
                </c:pt>
                <c:pt idx="11">
                  <c:v>22.24043</c:v>
                </c:pt>
                <c:pt idx="12">
                  <c:v>22.835560000000001</c:v>
                </c:pt>
                <c:pt idx="13">
                  <c:v>23.342569999999998</c:v>
                </c:pt>
                <c:pt idx="14">
                  <c:v>23.77825</c:v>
                </c:pt>
                <c:pt idx="15">
                  <c:v>24.15455</c:v>
                </c:pt>
                <c:pt idx="16">
                  <c:v>24.480409999999999</c:v>
                </c:pt>
                <c:pt idx="17">
                  <c:v>24.762689999999999</c:v>
                </c:pt>
                <c:pt idx="18">
                  <c:v>25.006830000000001</c:v>
                </c:pt>
                <c:pt idx="19">
                  <c:v>25.21724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AE-41BC-B288-D6BAA87D2181}"/>
            </c:ext>
          </c:extLst>
        </c:ser>
        <c:ser>
          <c:idx val="1"/>
          <c:order val="1"/>
          <c:tx>
            <c:strRef>
              <c:f>Sheet1!$V$10</c:f>
              <c:strCache>
                <c:ptCount val="1"/>
                <c:pt idx="0">
                  <c:v>H2O (ppm) 50C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Sheet1!$T$11:$T$30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</c:numCache>
            </c:numRef>
          </c:xVal>
          <c:yVal>
            <c:numRef>
              <c:f>Sheet1!$V$11:$V$30</c:f>
              <c:numCache>
                <c:formatCode>General</c:formatCode>
                <c:ptCount val="20"/>
                <c:pt idx="0">
                  <c:v>67.403540000000007</c:v>
                </c:pt>
                <c:pt idx="1">
                  <c:v>37.726550000000003</c:v>
                </c:pt>
                <c:pt idx="2">
                  <c:v>21.595040000000001</c:v>
                </c:pt>
                <c:pt idx="3">
                  <c:v>16.211970000000001</c:v>
                </c:pt>
                <c:pt idx="4">
                  <c:v>13.719390000000001</c:v>
                </c:pt>
                <c:pt idx="5">
                  <c:v>12.481640000000001</c:v>
                </c:pt>
                <c:pt idx="6">
                  <c:v>11.97991</c:v>
                </c:pt>
                <c:pt idx="7">
                  <c:v>12.059139999999999</c:v>
                </c:pt>
                <c:pt idx="8">
                  <c:v>12.788029999999999</c:v>
                </c:pt>
                <c:pt idx="9">
                  <c:v>14.556229999999999</c:v>
                </c:pt>
                <c:pt idx="10">
                  <c:v>18.03098</c:v>
                </c:pt>
                <c:pt idx="11">
                  <c:v>21.944939999999999</c:v>
                </c:pt>
                <c:pt idx="12">
                  <c:v>24.859030000000001</c:v>
                </c:pt>
                <c:pt idx="13">
                  <c:v>27.019629999999999</c:v>
                </c:pt>
                <c:pt idx="14">
                  <c:v>28.7103</c:v>
                </c:pt>
                <c:pt idx="15">
                  <c:v>30.086099999999998</c:v>
                </c:pt>
                <c:pt idx="16">
                  <c:v>31.235440000000001</c:v>
                </c:pt>
                <c:pt idx="17">
                  <c:v>32.212969999999999</c:v>
                </c:pt>
                <c:pt idx="18">
                  <c:v>33.054900000000004</c:v>
                </c:pt>
                <c:pt idx="19">
                  <c:v>33.78651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AE-41BC-B288-D6BAA87D2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89488"/>
        <c:axId val="81303888"/>
      </c:scatterChart>
      <c:valAx>
        <c:axId val="81289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b="1"/>
                  <a:t>Pressure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1303888"/>
        <c:crosses val="autoZero"/>
        <c:crossBetween val="midCat"/>
      </c:valAx>
      <c:valAx>
        <c:axId val="8130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b="1"/>
                  <a:t>H2O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1289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159689413823269"/>
          <c:y val="0.15819371536891219"/>
          <c:w val="0.23951421697287839"/>
          <c:h val="0.1562510936132983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4</xdr:row>
          <xdr:rowOff>171450</xdr:rowOff>
        </xdr:from>
        <xdr:to>
          <xdr:col>5</xdr:col>
          <xdr:colOff>1009650</xdr:colOff>
          <xdr:row>6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WriteInput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257175</xdr:colOff>
      <xdr:row>10</xdr:row>
      <xdr:rowOff>80962</xdr:rowOff>
    </xdr:from>
    <xdr:to>
      <xdr:col>31</xdr:col>
      <xdr:colOff>561975</xdr:colOff>
      <xdr:row>24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BDC23B-C8E1-B9A2-1135-780842133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1"/>
  <dimension ref="B2:C3"/>
  <sheetViews>
    <sheetView workbookViewId="0">
      <selection activeCell="C4" sqref="C4"/>
    </sheetView>
  </sheetViews>
  <sheetFormatPr defaultColWidth="9.140625" defaultRowHeight="15"/>
  <cols>
    <col min="1" max="1" width="3" style="1" customWidth="1"/>
    <col min="2" max="2" width="9.140625" style="1"/>
    <col min="3" max="3" width="10.7109375" style="1" bestFit="1" customWidth="1"/>
    <col min="4" max="16384" width="9.140625" style="1"/>
  </cols>
  <sheetData>
    <row r="2" spans="2:3" ht="46.5">
      <c r="B2" s="2" t="s">
        <v>0</v>
      </c>
    </row>
    <row r="3" spans="2:3">
      <c r="B3" s="1" t="s">
        <v>1</v>
      </c>
      <c r="C3" s="3">
        <v>45945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E1F3F-C571-4F48-B906-7A37B7082414}">
  <sheetPr codeName="Sheet9"/>
  <dimension ref="A1:AI63"/>
  <sheetViews>
    <sheetView tabSelected="1" workbookViewId="0">
      <selection activeCell="R25" sqref="R25"/>
    </sheetView>
  </sheetViews>
  <sheetFormatPr defaultColWidth="9.140625" defaultRowHeight="15"/>
  <cols>
    <col min="1" max="2" width="9.140625" style="1"/>
    <col min="3" max="3" width="14.42578125" style="1" customWidth="1"/>
    <col min="4" max="4" width="13.5703125" style="1" customWidth="1"/>
    <col min="5" max="5" width="12.85546875" style="1" customWidth="1"/>
    <col min="6" max="6" width="14.42578125" style="1" customWidth="1"/>
    <col min="7" max="7" width="13.85546875" style="1" customWidth="1"/>
    <col min="8" max="8" width="20" style="1" bestFit="1" customWidth="1"/>
    <col min="9" max="9" width="13.85546875" style="1" customWidth="1"/>
    <col min="10" max="12" width="9.140625" style="1"/>
    <col min="13" max="13" width="30.85546875" style="1" customWidth="1"/>
    <col min="14" max="14" width="10" style="1" bestFit="1" customWidth="1"/>
    <col min="15" max="15" width="9.140625" style="1"/>
    <col min="16" max="16" width="8.28515625" style="1" customWidth="1"/>
    <col min="17" max="17" width="4.140625" style="1" customWidth="1"/>
    <col min="18" max="16384" width="9.140625" style="1"/>
  </cols>
  <sheetData>
    <row r="1" spans="1:35">
      <c r="A1" s="40">
        <v>1</v>
      </c>
      <c r="B1" s="40">
        <v>2</v>
      </c>
      <c r="C1" s="40">
        <v>3</v>
      </c>
      <c r="D1" s="40">
        <v>4</v>
      </c>
      <c r="E1" s="40">
        <v>5</v>
      </c>
      <c r="F1" s="40">
        <v>6</v>
      </c>
      <c r="G1" s="40">
        <v>7</v>
      </c>
      <c r="H1" s="40">
        <v>8</v>
      </c>
      <c r="I1" s="40">
        <v>9</v>
      </c>
      <c r="J1" s="40">
        <v>10</v>
      </c>
      <c r="K1" s="40">
        <v>11</v>
      </c>
      <c r="L1" s="40">
        <v>12</v>
      </c>
      <c r="M1" s="40">
        <v>13</v>
      </c>
      <c r="N1" s="40">
        <v>14</v>
      </c>
      <c r="O1" s="40">
        <v>15</v>
      </c>
      <c r="P1" s="40">
        <v>16</v>
      </c>
      <c r="Q1" s="40">
        <v>26</v>
      </c>
      <c r="R1" s="40">
        <v>27</v>
      </c>
      <c r="S1" s="40">
        <v>28</v>
      </c>
      <c r="T1" s="40">
        <v>29</v>
      </c>
      <c r="U1" s="40">
        <v>30</v>
      </c>
      <c r="V1" s="40">
        <v>31</v>
      </c>
      <c r="W1" s="40">
        <v>32</v>
      </c>
      <c r="X1" s="40">
        <v>33</v>
      </c>
      <c r="Y1" s="40">
        <v>34</v>
      </c>
      <c r="Z1" s="40">
        <v>35</v>
      </c>
      <c r="AA1" s="40">
        <v>36</v>
      </c>
      <c r="AB1" s="40">
        <v>37</v>
      </c>
      <c r="AC1" s="40">
        <v>38</v>
      </c>
      <c r="AD1" s="40">
        <v>39</v>
      </c>
      <c r="AE1" s="40">
        <v>40</v>
      </c>
      <c r="AF1" s="40">
        <v>41</v>
      </c>
      <c r="AG1" s="40">
        <v>42</v>
      </c>
      <c r="AH1" s="40">
        <v>43</v>
      </c>
      <c r="AI1" s="40">
        <v>44</v>
      </c>
    </row>
    <row r="3" spans="1:35">
      <c r="C3" s="8" t="s">
        <v>2</v>
      </c>
      <c r="D3" s="15" t="s">
        <v>3</v>
      </c>
      <c r="E3" s="16"/>
      <c r="F3" s="16"/>
      <c r="G3" s="16"/>
      <c r="H3" s="16"/>
      <c r="I3" s="16"/>
      <c r="J3" s="16"/>
      <c r="K3" s="16"/>
      <c r="L3" s="16"/>
      <c r="M3" s="16"/>
      <c r="N3" s="17"/>
    </row>
    <row r="4" spans="1:35">
      <c r="C4" s="8" t="s">
        <v>4</v>
      </c>
      <c r="D4" s="15" t="s">
        <v>5</v>
      </c>
      <c r="E4" s="16"/>
      <c r="F4" s="16"/>
      <c r="G4" s="16"/>
      <c r="H4" s="16"/>
      <c r="I4" s="16"/>
      <c r="J4" s="16"/>
      <c r="K4" s="16"/>
      <c r="L4" s="16"/>
      <c r="M4" s="16"/>
      <c r="N4" s="17"/>
    </row>
    <row r="5" spans="1:35" ht="15.75" thickBot="1"/>
    <row r="6" spans="1:35">
      <c r="C6" s="8" t="s">
        <v>6</v>
      </c>
      <c r="D6" s="23">
        <v>50</v>
      </c>
      <c r="E6" s="1" t="s">
        <v>7</v>
      </c>
      <c r="R6" s="34" t="s">
        <v>8</v>
      </c>
      <c r="S6" s="27"/>
      <c r="T6" s="27"/>
      <c r="U6" s="27"/>
      <c r="V6" s="27"/>
      <c r="W6" s="27"/>
      <c r="X6" s="27"/>
      <c r="Y6" s="28"/>
    </row>
    <row r="7" spans="1:35">
      <c r="C7" s="8" t="s">
        <v>9</v>
      </c>
      <c r="D7" s="23">
        <v>20</v>
      </c>
      <c r="E7" s="1" t="s">
        <v>10</v>
      </c>
      <c r="R7" s="29"/>
      <c r="S7" s="1" t="s">
        <v>11</v>
      </c>
      <c r="T7" s="20">
        <v>100000</v>
      </c>
      <c r="Y7" s="30"/>
    </row>
    <row r="8" spans="1:35">
      <c r="R8" s="29"/>
      <c r="S8" s="1" t="s">
        <v>12</v>
      </c>
      <c r="T8" s="1">
        <v>1</v>
      </c>
      <c r="Y8" s="30"/>
    </row>
    <row r="9" spans="1:35">
      <c r="C9" s="21" t="s">
        <v>13</v>
      </c>
      <c r="F9" s="8" t="s">
        <v>14</v>
      </c>
      <c r="G9" s="9">
        <v>0</v>
      </c>
      <c r="H9" s="36" t="s">
        <v>15</v>
      </c>
      <c r="R9" s="29"/>
      <c r="S9" s="1" t="s">
        <v>16</v>
      </c>
      <c r="T9" s="1">
        <v>8.3140000000000001</v>
      </c>
      <c r="Y9" s="30"/>
    </row>
    <row r="10" spans="1:35">
      <c r="C10" s="39">
        <v>11</v>
      </c>
      <c r="G10" s="21" t="s">
        <v>17</v>
      </c>
      <c r="L10" s="39">
        <v>5</v>
      </c>
      <c r="R10" s="29"/>
      <c r="S10" s="1" t="s">
        <v>18</v>
      </c>
      <c r="T10" s="1">
        <f>15+273.15</f>
        <v>288.14999999999998</v>
      </c>
      <c r="Y10" s="30"/>
    </row>
    <row r="11" spans="1:35" ht="15.75" thickBot="1">
      <c r="C11" s="7" t="s">
        <v>19</v>
      </c>
      <c r="D11" s="4" t="s">
        <v>20</v>
      </c>
      <c r="E11" s="7" t="s">
        <v>21</v>
      </c>
      <c r="F11" s="7" t="s">
        <v>22</v>
      </c>
      <c r="G11" s="22" t="s">
        <v>23</v>
      </c>
      <c r="I11" s="6" t="s">
        <v>24</v>
      </c>
      <c r="L11" s="7" t="s">
        <v>19</v>
      </c>
      <c r="M11" s="7" t="s">
        <v>25</v>
      </c>
      <c r="N11" s="7" t="s">
        <v>26</v>
      </c>
      <c r="R11" s="29"/>
      <c r="S11" s="1" t="s">
        <v>27</v>
      </c>
      <c r="T11" s="31">
        <f>T8*T9*T10/T7*1000</f>
        <v>23.956790999999999</v>
      </c>
      <c r="Y11" s="30"/>
    </row>
    <row r="12" spans="1:35">
      <c r="C12" s="5">
        <v>1</v>
      </c>
      <c r="D12" s="1" t="s">
        <v>28</v>
      </c>
      <c r="E12" s="43">
        <f>1000000-SUM(E13:E22)</f>
        <v>999959</v>
      </c>
      <c r="F12" s="18">
        <f t="shared" ref="F12" si="0">E12/$E$23*1000000</f>
        <v>999959</v>
      </c>
      <c r="G12" s="18" cm="1">
        <f t="array" ref="G12:G22">_xlfn.XLOOKUP(G11,S26:T26,S27:T37)</f>
        <v>0</v>
      </c>
      <c r="I12" s="1">
        <v>44.01</v>
      </c>
      <c r="L12" s="18">
        <v>1</v>
      </c>
      <c r="M12" s="37" t="s">
        <v>29</v>
      </c>
      <c r="N12" s="38" t="b">
        <v>1</v>
      </c>
      <c r="R12" s="29"/>
      <c r="Y12" s="30"/>
    </row>
    <row r="13" spans="1:35">
      <c r="C13" s="5">
        <v>2</v>
      </c>
      <c r="D13" s="11" t="s">
        <v>30</v>
      </c>
      <c r="E13" s="44">
        <v>5</v>
      </c>
      <c r="F13" s="47">
        <f>E13/$E$23*1000000</f>
        <v>5</v>
      </c>
      <c r="G13" s="26">
        <v>0</v>
      </c>
      <c r="I13" s="1">
        <v>18.015999999999998</v>
      </c>
      <c r="L13" s="18">
        <v>2</v>
      </c>
      <c r="M13" s="37" t="s">
        <v>31</v>
      </c>
      <c r="N13" s="38" t="b">
        <v>1</v>
      </c>
      <c r="R13" s="29"/>
      <c r="Y13" s="30"/>
    </row>
    <row r="14" spans="1:35">
      <c r="C14" s="5">
        <v>3</v>
      </c>
      <c r="D14" s="1" t="s">
        <v>32</v>
      </c>
      <c r="E14" s="44">
        <v>0</v>
      </c>
      <c r="F14" s="47">
        <f t="shared" ref="F14:F22" si="1">E14/$E$23*1000000</f>
        <v>0</v>
      </c>
      <c r="G14" s="18">
        <v>0</v>
      </c>
      <c r="I14" s="1">
        <v>28.013999999999999</v>
      </c>
      <c r="L14" s="18">
        <v>3</v>
      </c>
      <c r="M14" s="37" t="s">
        <v>33</v>
      </c>
      <c r="N14" s="38" t="b">
        <v>1</v>
      </c>
      <c r="R14" s="29"/>
      <c r="Y14" s="30"/>
    </row>
    <row r="15" spans="1:35">
      <c r="C15" s="5">
        <v>4</v>
      </c>
      <c r="D15" s="11" t="s">
        <v>34</v>
      </c>
      <c r="E15" s="44">
        <v>5</v>
      </c>
      <c r="F15" s="47">
        <f t="shared" si="1"/>
        <v>5</v>
      </c>
      <c r="G15" s="18">
        <v>0</v>
      </c>
      <c r="I15" s="1">
        <v>31.998999999999999</v>
      </c>
      <c r="L15" s="18">
        <v>4</v>
      </c>
      <c r="M15" s="37" t="s">
        <v>35</v>
      </c>
      <c r="N15" s="38" t="b">
        <v>1</v>
      </c>
      <c r="R15" s="29"/>
      <c r="S15" s="9">
        <v>96</v>
      </c>
      <c r="T15" s="5" t="s">
        <v>36</v>
      </c>
      <c r="U15" s="1" t="s">
        <v>24</v>
      </c>
      <c r="V15" s="1" t="s">
        <v>21</v>
      </c>
      <c r="Y15" s="30"/>
    </row>
    <row r="16" spans="1:35" ht="15.75" thickBot="1">
      <c r="C16" s="5">
        <v>5</v>
      </c>
      <c r="D16" s="11" t="s">
        <v>37</v>
      </c>
      <c r="E16" s="44">
        <v>5</v>
      </c>
      <c r="F16" s="47">
        <f t="shared" si="1"/>
        <v>5</v>
      </c>
      <c r="G16" s="18">
        <v>0</v>
      </c>
      <c r="I16" s="1">
        <v>34.085999999999999</v>
      </c>
      <c r="L16" s="19">
        <v>5</v>
      </c>
      <c r="M16" s="41" t="s">
        <v>38</v>
      </c>
      <c r="N16" s="42" t="b">
        <v>1</v>
      </c>
      <c r="R16" s="29"/>
      <c r="S16" s="5" t="s">
        <v>23</v>
      </c>
      <c r="T16" s="5">
        <f>S15/100*G9*1000</f>
        <v>0</v>
      </c>
      <c r="U16" s="35">
        <f>I20</f>
        <v>98.085999999999999</v>
      </c>
      <c r="V16" s="1">
        <f>T16/U16</f>
        <v>0</v>
      </c>
      <c r="Y16" s="30"/>
    </row>
    <row r="17" spans="3:25">
      <c r="C17" s="5">
        <v>6</v>
      </c>
      <c r="D17" s="11" t="s">
        <v>39</v>
      </c>
      <c r="E17" s="44">
        <v>5</v>
      </c>
      <c r="F17" s="47">
        <f t="shared" si="1"/>
        <v>5</v>
      </c>
      <c r="G17" s="18">
        <v>0</v>
      </c>
      <c r="I17" s="1">
        <v>30.009999999999998</v>
      </c>
      <c r="R17" s="29"/>
      <c r="S17" s="5" t="s">
        <v>30</v>
      </c>
      <c r="T17" s="5">
        <f>(100-S15)/100*G9*1000</f>
        <v>0</v>
      </c>
      <c r="U17" s="35">
        <f>I13</f>
        <v>18.015999999999998</v>
      </c>
      <c r="V17" s="1">
        <f>T17/U17</f>
        <v>0</v>
      </c>
      <c r="Y17" s="30"/>
    </row>
    <row r="18" spans="3:25">
      <c r="C18" s="5">
        <v>7</v>
      </c>
      <c r="D18" s="11" t="s">
        <v>40</v>
      </c>
      <c r="E18" s="44">
        <v>5</v>
      </c>
      <c r="F18" s="47">
        <f t="shared" si="1"/>
        <v>5</v>
      </c>
      <c r="G18" s="18">
        <v>0</v>
      </c>
      <c r="I18" s="1">
        <v>46.01</v>
      </c>
      <c r="L18" s="39">
        <v>5</v>
      </c>
      <c r="R18" s="29"/>
      <c r="V18" s="10">
        <f>V16+V17</f>
        <v>0</v>
      </c>
      <c r="Y18" s="30"/>
    </row>
    <row r="19" spans="3:25" ht="15.75" thickBot="1">
      <c r="C19" s="5">
        <v>8</v>
      </c>
      <c r="D19" s="11" t="s">
        <v>41</v>
      </c>
      <c r="E19" s="44">
        <v>5</v>
      </c>
      <c r="F19" s="47">
        <f t="shared" si="1"/>
        <v>5</v>
      </c>
      <c r="G19" s="18">
        <v>0</v>
      </c>
      <c r="I19" s="1">
        <v>64.069999999999993</v>
      </c>
      <c r="L19" s="7" t="s">
        <v>42</v>
      </c>
      <c r="M19" s="7" t="s">
        <v>43</v>
      </c>
      <c r="N19" s="7" t="s">
        <v>26</v>
      </c>
      <c r="R19" s="29"/>
      <c r="S19" s="9">
        <v>69</v>
      </c>
      <c r="T19" s="1" t="s">
        <v>36</v>
      </c>
      <c r="Y19" s="30"/>
    </row>
    <row r="20" spans="3:25">
      <c r="C20" s="5">
        <v>9</v>
      </c>
      <c r="D20" s="11" t="s">
        <v>23</v>
      </c>
      <c r="E20" s="44">
        <v>5</v>
      </c>
      <c r="F20" s="47">
        <f t="shared" si="1"/>
        <v>5</v>
      </c>
      <c r="G20" s="18">
        <v>0</v>
      </c>
      <c r="I20" s="1">
        <v>98.085999999999999</v>
      </c>
      <c r="L20" s="5">
        <v>1</v>
      </c>
      <c r="M20" s="1" t="s">
        <v>44</v>
      </c>
      <c r="N20" s="38" t="b">
        <v>1</v>
      </c>
      <c r="R20" s="29"/>
      <c r="S20" s="1" t="s">
        <v>45</v>
      </c>
      <c r="T20" s="1">
        <f>G9*1000*S19/100</f>
        <v>0</v>
      </c>
      <c r="U20" s="35">
        <f>I21</f>
        <v>63.018000000000001</v>
      </c>
      <c r="V20" s="1">
        <f>T20/U20</f>
        <v>0</v>
      </c>
      <c r="Y20" s="30"/>
    </row>
    <row r="21" spans="3:25">
      <c r="C21" s="5">
        <v>10</v>
      </c>
      <c r="D21" s="11" t="s">
        <v>45</v>
      </c>
      <c r="E21" s="44">
        <v>5</v>
      </c>
      <c r="F21" s="47">
        <f t="shared" si="1"/>
        <v>5</v>
      </c>
      <c r="G21" s="18">
        <v>0</v>
      </c>
      <c r="I21" s="1">
        <v>63.018000000000001</v>
      </c>
      <c r="L21" s="5">
        <v>2</v>
      </c>
      <c r="M21" s="1" t="s">
        <v>46</v>
      </c>
      <c r="N21" s="38" t="b">
        <v>0</v>
      </c>
      <c r="R21" s="29"/>
      <c r="S21" s="1" t="s">
        <v>30</v>
      </c>
      <c r="T21" s="1">
        <f>G9*1000*(100-S19)/100</f>
        <v>0</v>
      </c>
      <c r="U21" s="35">
        <f>I13</f>
        <v>18.015999999999998</v>
      </c>
      <c r="V21" s="1">
        <f>T21/U21</f>
        <v>0</v>
      </c>
      <c r="Y21" s="30"/>
    </row>
    <row r="22" spans="3:25" ht="15.75" thickBot="1">
      <c r="C22" s="12">
        <v>11</v>
      </c>
      <c r="D22" s="13" t="s">
        <v>47</v>
      </c>
      <c r="E22" s="45">
        <v>1</v>
      </c>
      <c r="F22" s="48">
        <f t="shared" si="1"/>
        <v>1</v>
      </c>
      <c r="G22" s="19">
        <v>0</v>
      </c>
      <c r="I22" s="14">
        <v>256.52</v>
      </c>
      <c r="L22" s="5">
        <v>3</v>
      </c>
      <c r="M22" s="1" t="s">
        <v>48</v>
      </c>
      <c r="N22" s="38" t="b">
        <v>1</v>
      </c>
      <c r="R22" s="29"/>
      <c r="Y22" s="30"/>
    </row>
    <row r="23" spans="3:25" ht="15.75" thickBot="1">
      <c r="D23" s="1" t="s">
        <v>49</v>
      </c>
      <c r="E23" s="18">
        <f>SUM(E12:E22)</f>
        <v>1000000</v>
      </c>
      <c r="F23" s="46"/>
      <c r="L23" s="5">
        <v>4</v>
      </c>
      <c r="M23" s="1" t="s">
        <v>50</v>
      </c>
      <c r="N23" s="38" t="b">
        <v>1</v>
      </c>
      <c r="R23" s="32"/>
      <c r="S23" s="14"/>
      <c r="T23" s="14"/>
      <c r="U23" s="14"/>
      <c r="V23" s="14"/>
      <c r="W23" s="14"/>
      <c r="X23" s="14"/>
      <c r="Y23" s="33"/>
    </row>
    <row r="24" spans="3:25" ht="15.75" thickBot="1">
      <c r="G24" s="8"/>
      <c r="H24" s="25"/>
      <c r="I24" s="24"/>
      <c r="L24" s="12">
        <v>5</v>
      </c>
      <c r="M24" s="14" t="s">
        <v>51</v>
      </c>
      <c r="N24" s="42" t="b">
        <v>0</v>
      </c>
    </row>
    <row r="25" spans="3:25">
      <c r="D25" s="8" t="s">
        <v>52</v>
      </c>
      <c r="E25" s="25">
        <f>SUMPRODUCT(E12:E22,$I$12:$I$22)/1000</f>
        <v>44010.378584999991</v>
      </c>
      <c r="F25" s="24" t="s">
        <v>15</v>
      </c>
    </row>
    <row r="26" spans="3:25" ht="15.75" thickBot="1">
      <c r="D26" s="8" t="s">
        <v>53</v>
      </c>
      <c r="E26" s="25">
        <f>E23*T11/1000</f>
        <v>23956.791000000001</v>
      </c>
      <c r="F26" s="24" t="s">
        <v>54</v>
      </c>
      <c r="R26" s="4"/>
      <c r="S26" s="4" t="s">
        <v>23</v>
      </c>
      <c r="T26" s="4" t="s">
        <v>45</v>
      </c>
    </row>
    <row r="27" spans="3:25">
      <c r="R27" s="1" t="str">
        <f>D12</f>
        <v>CO2</v>
      </c>
      <c r="S27" s="1">
        <v>0</v>
      </c>
      <c r="T27" s="1">
        <v>0</v>
      </c>
    </row>
    <row r="28" spans="3:25">
      <c r="E28" s="10"/>
      <c r="R28" s="1" t="str">
        <f t="shared" ref="R28:R37" si="2">D13</f>
        <v>H2O</v>
      </c>
      <c r="S28" s="1">
        <f>V17</f>
        <v>0</v>
      </c>
      <c r="T28" s="1">
        <f>V21</f>
        <v>0</v>
      </c>
    </row>
    <row r="29" spans="3:25">
      <c r="H29" s="51" t="s">
        <v>55</v>
      </c>
      <c r="R29" s="1" t="str">
        <f t="shared" si="2"/>
        <v>N2</v>
      </c>
      <c r="S29" s="1">
        <v>0</v>
      </c>
      <c r="T29" s="1">
        <v>0</v>
      </c>
    </row>
    <row r="30" spans="3:25">
      <c r="C30" s="21" t="s">
        <v>56</v>
      </c>
      <c r="D30" s="8" t="s">
        <v>57</v>
      </c>
      <c r="E30" s="9">
        <v>20</v>
      </c>
      <c r="H30" s="35" t="s">
        <v>58</v>
      </c>
      <c r="R30" s="1" t="str">
        <f t="shared" si="2"/>
        <v>O2</v>
      </c>
      <c r="S30" s="1">
        <v>0</v>
      </c>
      <c r="T30" s="1">
        <v>0</v>
      </c>
    </row>
    <row r="31" spans="3:25">
      <c r="H31" s="35" t="s">
        <v>59</v>
      </c>
      <c r="R31" s="1" t="str">
        <f t="shared" si="2"/>
        <v>H2S</v>
      </c>
      <c r="S31" s="1">
        <v>0</v>
      </c>
      <c r="T31" s="1">
        <v>0</v>
      </c>
    </row>
    <row r="32" spans="3:25" ht="15.75" thickBot="1">
      <c r="C32" s="7" t="s">
        <v>19</v>
      </c>
      <c r="D32" s="7" t="s">
        <v>60</v>
      </c>
      <c r="E32" s="7" t="s">
        <v>61</v>
      </c>
      <c r="H32" s="35" t="s">
        <v>62</v>
      </c>
      <c r="R32" s="1" t="str">
        <f t="shared" si="2"/>
        <v>NO</v>
      </c>
      <c r="S32" s="1">
        <v>0</v>
      </c>
      <c r="T32" s="1">
        <v>0</v>
      </c>
    </row>
    <row r="33" spans="3:20">
      <c r="C33" s="5">
        <v>1</v>
      </c>
      <c r="D33" s="49">
        <v>5</v>
      </c>
      <c r="E33" s="49">
        <v>50</v>
      </c>
      <c r="H33" s="35" t="s">
        <v>63</v>
      </c>
      <c r="R33" s="1" t="str">
        <f t="shared" si="2"/>
        <v>NO2</v>
      </c>
      <c r="S33" s="1">
        <v>0</v>
      </c>
      <c r="T33" s="1">
        <v>0</v>
      </c>
    </row>
    <row r="34" spans="3:20">
      <c r="C34" s="5">
        <v>2</v>
      </c>
      <c r="D34" s="49">
        <v>10</v>
      </c>
      <c r="E34" s="49">
        <f>E33</f>
        <v>50</v>
      </c>
      <c r="H34" s="35" t="s">
        <v>64</v>
      </c>
      <c r="R34" s="1" t="str">
        <f t="shared" si="2"/>
        <v>SO2</v>
      </c>
      <c r="S34" s="1">
        <v>0</v>
      </c>
      <c r="T34" s="1">
        <v>0</v>
      </c>
    </row>
    <row r="35" spans="3:20">
      <c r="C35" s="5">
        <v>3</v>
      </c>
      <c r="D35" s="49">
        <v>20</v>
      </c>
      <c r="E35" s="49">
        <f t="shared" ref="E35:E52" si="3">E34</f>
        <v>50</v>
      </c>
      <c r="H35" s="35" t="s">
        <v>65</v>
      </c>
      <c r="R35" s="1" t="str">
        <f t="shared" si="2"/>
        <v>H2SO4</v>
      </c>
      <c r="S35" s="1">
        <f>V16</f>
        <v>0</v>
      </c>
      <c r="T35" s="1">
        <v>0</v>
      </c>
    </row>
    <row r="36" spans="3:20">
      <c r="C36" s="5">
        <v>4</v>
      </c>
      <c r="D36" s="49">
        <v>30</v>
      </c>
      <c r="E36" s="49">
        <f t="shared" si="3"/>
        <v>50</v>
      </c>
      <c r="H36" s="35" t="s">
        <v>66</v>
      </c>
      <c r="R36" s="1" t="str">
        <f t="shared" si="2"/>
        <v>HNO3</v>
      </c>
      <c r="S36" s="1">
        <v>0</v>
      </c>
      <c r="T36" s="1">
        <f>V20</f>
        <v>0</v>
      </c>
    </row>
    <row r="37" spans="3:20" ht="15.75" thickBot="1">
      <c r="C37" s="5">
        <v>5</v>
      </c>
      <c r="D37" s="49">
        <v>40</v>
      </c>
      <c r="E37" s="49">
        <f t="shared" si="3"/>
        <v>50</v>
      </c>
      <c r="R37" s="14" t="str">
        <f t="shared" si="2"/>
        <v>S8</v>
      </c>
      <c r="S37" s="14">
        <v>0</v>
      </c>
      <c r="T37" s="14">
        <v>0</v>
      </c>
    </row>
    <row r="38" spans="3:20">
      <c r="C38" s="5">
        <v>6</v>
      </c>
      <c r="D38" s="49">
        <v>50</v>
      </c>
      <c r="E38" s="49">
        <f t="shared" si="3"/>
        <v>50</v>
      </c>
    </row>
    <row r="39" spans="3:20">
      <c r="C39" s="5">
        <v>7</v>
      </c>
      <c r="D39" s="49">
        <v>60</v>
      </c>
      <c r="E39" s="49">
        <f t="shared" si="3"/>
        <v>50</v>
      </c>
    </row>
    <row r="40" spans="3:20">
      <c r="C40" s="5">
        <v>8</v>
      </c>
      <c r="D40" s="49">
        <v>70</v>
      </c>
      <c r="E40" s="49">
        <f t="shared" si="3"/>
        <v>50</v>
      </c>
    </row>
    <row r="41" spans="3:20">
      <c r="C41" s="5">
        <v>9</v>
      </c>
      <c r="D41" s="49">
        <v>80</v>
      </c>
      <c r="E41" s="49">
        <f t="shared" si="3"/>
        <v>50</v>
      </c>
    </row>
    <row r="42" spans="3:20">
      <c r="C42" s="5">
        <v>10</v>
      </c>
      <c r="D42" s="49">
        <v>90</v>
      </c>
      <c r="E42" s="49">
        <f t="shared" si="3"/>
        <v>50</v>
      </c>
    </row>
    <row r="43" spans="3:20">
      <c r="C43" s="5">
        <v>11</v>
      </c>
      <c r="D43" s="49">
        <v>100</v>
      </c>
      <c r="E43" s="49">
        <f t="shared" si="3"/>
        <v>50</v>
      </c>
    </row>
    <row r="44" spans="3:20">
      <c r="C44" s="5">
        <v>12</v>
      </c>
      <c r="D44" s="49">
        <v>110</v>
      </c>
      <c r="E44" s="49">
        <f t="shared" si="3"/>
        <v>50</v>
      </c>
    </row>
    <row r="45" spans="3:20">
      <c r="C45" s="5">
        <v>13</v>
      </c>
      <c r="D45" s="49">
        <v>120</v>
      </c>
      <c r="E45" s="49">
        <f t="shared" si="3"/>
        <v>50</v>
      </c>
    </row>
    <row r="46" spans="3:20">
      <c r="C46" s="5">
        <v>14</v>
      </c>
      <c r="D46" s="49">
        <v>130</v>
      </c>
      <c r="E46" s="49">
        <f t="shared" si="3"/>
        <v>50</v>
      </c>
    </row>
    <row r="47" spans="3:20">
      <c r="C47" s="5">
        <v>15</v>
      </c>
      <c r="D47" s="49">
        <v>140</v>
      </c>
      <c r="E47" s="49">
        <f t="shared" si="3"/>
        <v>50</v>
      </c>
    </row>
    <row r="48" spans="3:20">
      <c r="C48" s="5">
        <v>16</v>
      </c>
      <c r="D48" s="49">
        <v>150</v>
      </c>
      <c r="E48" s="49">
        <f t="shared" si="3"/>
        <v>50</v>
      </c>
    </row>
    <row r="49" spans="3:16">
      <c r="C49" s="5">
        <v>17</v>
      </c>
      <c r="D49" s="49">
        <v>160</v>
      </c>
      <c r="E49" s="49">
        <f t="shared" si="3"/>
        <v>50</v>
      </c>
    </row>
    <row r="50" spans="3:16">
      <c r="C50" s="5">
        <v>18</v>
      </c>
      <c r="D50" s="49">
        <v>170</v>
      </c>
      <c r="E50" s="49">
        <f t="shared" si="3"/>
        <v>50</v>
      </c>
    </row>
    <row r="51" spans="3:16">
      <c r="C51" s="5">
        <v>19</v>
      </c>
      <c r="D51" s="49">
        <v>180</v>
      </c>
      <c r="E51" s="49">
        <f t="shared" si="3"/>
        <v>50</v>
      </c>
    </row>
    <row r="52" spans="3:16" ht="15.75" thickBot="1">
      <c r="C52" s="12">
        <v>20</v>
      </c>
      <c r="D52" s="50">
        <v>190</v>
      </c>
      <c r="E52" s="50">
        <f t="shared" si="3"/>
        <v>50</v>
      </c>
    </row>
    <row r="58" spans="3:16">
      <c r="P58" s="10"/>
    </row>
    <row r="59" spans="3:16">
      <c r="P59" s="10"/>
    </row>
    <row r="60" spans="3:16">
      <c r="P60" s="10"/>
    </row>
    <row r="61" spans="3:16">
      <c r="P61" s="10"/>
    </row>
    <row r="62" spans="3:16">
      <c r="P62" s="10"/>
    </row>
    <row r="63" spans="3:16">
      <c r="P63" s="10"/>
    </row>
  </sheetData>
  <dataValidations count="1">
    <dataValidation type="list" allowBlank="1" showInputMessage="1" showErrorMessage="1" sqref="G11" xr:uid="{435BB0CD-9337-4221-A76B-125D79B7FDFB}">
      <formula1>$S$26:$T$26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heet9.WriteWaterCalcInput">
                <anchor moveWithCells="1" sizeWithCells="1">
                  <from>
                    <xdr:col>4</xdr:col>
                    <xdr:colOff>504825</xdr:colOff>
                    <xdr:row>4</xdr:row>
                    <xdr:rowOff>171450</xdr:rowOff>
                  </from>
                  <to>
                    <xdr:col>5</xdr:col>
                    <xdr:colOff>1009650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EF425-AA65-4F2D-B041-F03CBE5B8A95}">
  <dimension ref="E10:V55"/>
  <sheetViews>
    <sheetView workbookViewId="0">
      <selection activeCell="O40" sqref="O40"/>
    </sheetView>
  </sheetViews>
  <sheetFormatPr defaultRowHeight="15"/>
  <sheetData>
    <row r="10" spans="5:22">
      <c r="E10" t="s">
        <v>11</v>
      </c>
      <c r="F10" t="s">
        <v>18</v>
      </c>
      <c r="G10" t="s">
        <v>67</v>
      </c>
      <c r="H10" t="s">
        <v>68</v>
      </c>
      <c r="I10" t="s">
        <v>69</v>
      </c>
      <c r="J10" t="s">
        <v>70</v>
      </c>
      <c r="T10" t="s">
        <v>11</v>
      </c>
      <c r="U10" t="s">
        <v>71</v>
      </c>
      <c r="V10" t="s">
        <v>72</v>
      </c>
    </row>
    <row r="11" spans="5:22">
      <c r="E11">
        <v>5</v>
      </c>
      <c r="F11">
        <v>50</v>
      </c>
      <c r="G11">
        <v>8.3539200000000005</v>
      </c>
      <c r="H11">
        <v>6067.8261700000003</v>
      </c>
      <c r="I11">
        <v>0</v>
      </c>
      <c r="J11">
        <v>490.49590000000001</v>
      </c>
      <c r="T11">
        <v>5</v>
      </c>
      <c r="U11">
        <v>21.215070000000001</v>
      </c>
      <c r="V11">
        <v>67.403540000000007</v>
      </c>
    </row>
    <row r="12" spans="5:22">
      <c r="E12">
        <v>10</v>
      </c>
      <c r="F12">
        <v>50</v>
      </c>
      <c r="G12">
        <v>17.056429999999999</v>
      </c>
      <c r="H12">
        <v>3778.1414500000001</v>
      </c>
      <c r="I12">
        <v>0</v>
      </c>
      <c r="J12">
        <v>224.45160000000001</v>
      </c>
      <c r="T12">
        <v>10</v>
      </c>
      <c r="U12">
        <v>11.50257</v>
      </c>
      <c r="V12">
        <v>37.726550000000003</v>
      </c>
    </row>
    <row r="13" spans="5:22">
      <c r="E13">
        <v>20</v>
      </c>
      <c r="F13">
        <v>50</v>
      </c>
      <c r="G13">
        <v>35.651420000000002</v>
      </c>
      <c r="H13">
        <v>2285.8804100000002</v>
      </c>
      <c r="I13">
        <v>0</v>
      </c>
      <c r="J13">
        <v>125.12588</v>
      </c>
      <c r="T13">
        <v>20</v>
      </c>
      <c r="U13">
        <v>6.6081899999999996</v>
      </c>
      <c r="V13">
        <v>21.595040000000001</v>
      </c>
    </row>
    <row r="14" spans="5:22">
      <c r="E14">
        <v>30</v>
      </c>
      <c r="F14">
        <v>50</v>
      </c>
      <c r="G14">
        <v>56.138179999999998</v>
      </c>
      <c r="H14">
        <v>1745.95866</v>
      </c>
      <c r="I14">
        <v>0</v>
      </c>
      <c r="J14">
        <v>102.12724</v>
      </c>
      <c r="T14">
        <v>30</v>
      </c>
      <c r="U14">
        <v>5.0918099999999997</v>
      </c>
      <c r="V14">
        <v>16.211970000000001</v>
      </c>
    </row>
    <row r="15" spans="5:22">
      <c r="E15">
        <v>40</v>
      </c>
      <c r="F15">
        <v>50</v>
      </c>
      <c r="G15">
        <v>79.013189999999994</v>
      </c>
      <c r="H15">
        <v>1488.33933</v>
      </c>
      <c r="I15">
        <v>0</v>
      </c>
      <c r="J15">
        <v>97.765820000000005</v>
      </c>
      <c r="T15">
        <v>40</v>
      </c>
      <c r="U15">
        <v>4.49031</v>
      </c>
      <c r="V15">
        <v>13.719390000000001</v>
      </c>
    </row>
    <row r="16" spans="5:22">
      <c r="E16">
        <v>50</v>
      </c>
      <c r="F16">
        <v>50</v>
      </c>
      <c r="G16">
        <v>105.00586</v>
      </c>
      <c r="H16">
        <v>1357.9368300000001</v>
      </c>
      <c r="I16">
        <v>0</v>
      </c>
      <c r="J16">
        <v>103.37564999999999</v>
      </c>
      <c r="T16">
        <v>50</v>
      </c>
      <c r="U16">
        <v>4.3597700000000001</v>
      </c>
      <c r="V16">
        <v>12.481640000000001</v>
      </c>
    </row>
    <row r="17" spans="5:22">
      <c r="E17">
        <v>60</v>
      </c>
      <c r="F17">
        <v>50</v>
      </c>
      <c r="G17">
        <v>135.24852999999999</v>
      </c>
      <c r="H17">
        <v>1303.2360100000001</v>
      </c>
      <c r="I17">
        <v>0</v>
      </c>
      <c r="J17">
        <v>118.40326</v>
      </c>
      <c r="T17">
        <v>60</v>
      </c>
      <c r="U17">
        <v>15.606490000000001</v>
      </c>
      <c r="V17">
        <v>11.97991</v>
      </c>
    </row>
    <row r="18" spans="5:22">
      <c r="E18">
        <v>70</v>
      </c>
      <c r="F18">
        <v>50</v>
      </c>
      <c r="G18">
        <v>171.62344999999999</v>
      </c>
      <c r="H18">
        <v>1307.75487</v>
      </c>
      <c r="I18">
        <v>0</v>
      </c>
      <c r="J18">
        <v>146.77099000000001</v>
      </c>
      <c r="T18">
        <v>70</v>
      </c>
      <c r="U18">
        <v>18.107939999999999</v>
      </c>
      <c r="V18">
        <v>12.059139999999999</v>
      </c>
    </row>
    <row r="19" spans="5:22">
      <c r="E19">
        <v>80</v>
      </c>
      <c r="F19">
        <v>50</v>
      </c>
      <c r="G19">
        <v>217.50556</v>
      </c>
      <c r="H19">
        <v>1375.6201000000001</v>
      </c>
      <c r="I19">
        <v>0</v>
      </c>
      <c r="J19">
        <v>199.80798999999999</v>
      </c>
      <c r="T19">
        <v>80</v>
      </c>
      <c r="U19">
        <v>19.58445</v>
      </c>
      <c r="V19">
        <v>12.788029999999999</v>
      </c>
    </row>
    <row r="20" spans="5:22">
      <c r="E20">
        <v>90</v>
      </c>
      <c r="F20">
        <v>50</v>
      </c>
      <c r="G20">
        <v>279.07163000000003</v>
      </c>
      <c r="H20">
        <v>1536.2261599999999</v>
      </c>
      <c r="I20">
        <v>0</v>
      </c>
      <c r="J20">
        <v>308.57808999999997</v>
      </c>
      <c r="T20">
        <v>90</v>
      </c>
      <c r="U20">
        <v>20.671220000000002</v>
      </c>
      <c r="V20">
        <v>14.556229999999999</v>
      </c>
    </row>
    <row r="21" spans="5:22">
      <c r="E21">
        <v>100</v>
      </c>
      <c r="F21">
        <v>50</v>
      </c>
      <c r="G21">
        <v>362.37464999999997</v>
      </c>
      <c r="H21">
        <v>1847.36771</v>
      </c>
      <c r="I21">
        <v>0</v>
      </c>
      <c r="J21">
        <v>547.49095</v>
      </c>
      <c r="T21">
        <v>100</v>
      </c>
      <c r="U21">
        <v>21.532309999999999</v>
      </c>
      <c r="V21">
        <v>18.03098</v>
      </c>
    </row>
    <row r="22" spans="5:22">
      <c r="E22">
        <v>110</v>
      </c>
      <c r="F22">
        <v>50</v>
      </c>
      <c r="G22">
        <v>448.56664999999998</v>
      </c>
      <c r="H22">
        <v>2267.61355</v>
      </c>
      <c r="I22">
        <v>0</v>
      </c>
      <c r="J22">
        <v>935.46247000000005</v>
      </c>
      <c r="T22">
        <v>110</v>
      </c>
      <c r="U22">
        <v>22.24043</v>
      </c>
      <c r="V22">
        <v>21.944939999999999</v>
      </c>
    </row>
    <row r="23" spans="5:22">
      <c r="E23">
        <v>120</v>
      </c>
      <c r="F23">
        <v>50</v>
      </c>
      <c r="G23">
        <v>513.08848</v>
      </c>
      <c r="H23">
        <v>2642.2036800000001</v>
      </c>
      <c r="I23">
        <v>0</v>
      </c>
      <c r="J23">
        <v>1323.31699</v>
      </c>
      <c r="T23">
        <v>120</v>
      </c>
      <c r="U23">
        <v>22.835560000000001</v>
      </c>
      <c r="V23">
        <v>24.859030000000001</v>
      </c>
    </row>
    <row r="24" spans="5:22">
      <c r="E24">
        <v>130</v>
      </c>
      <c r="F24">
        <v>50</v>
      </c>
      <c r="G24">
        <v>560.11465999999996</v>
      </c>
      <c r="H24">
        <v>2942.5248799999999</v>
      </c>
      <c r="I24">
        <v>0</v>
      </c>
      <c r="J24">
        <v>1647.1139900000001</v>
      </c>
      <c r="T24">
        <v>130</v>
      </c>
      <c r="U24">
        <v>23.342569999999998</v>
      </c>
      <c r="V24">
        <v>27.019629999999999</v>
      </c>
    </row>
    <row r="25" spans="5:22">
      <c r="E25">
        <v>140</v>
      </c>
      <c r="F25">
        <v>50</v>
      </c>
      <c r="G25">
        <v>596.64718000000005</v>
      </c>
      <c r="H25">
        <v>3187.0391500000001</v>
      </c>
      <c r="I25">
        <v>0</v>
      </c>
      <c r="J25">
        <v>1911.5189</v>
      </c>
      <c r="T25">
        <v>140</v>
      </c>
      <c r="U25">
        <v>23.77825</v>
      </c>
      <c r="V25">
        <v>28.7103</v>
      </c>
    </row>
    <row r="26" spans="5:22">
      <c r="E26">
        <v>150</v>
      </c>
      <c r="F26">
        <v>50</v>
      </c>
      <c r="G26">
        <v>626.55843000000004</v>
      </c>
      <c r="H26">
        <v>3390.7714999999998</v>
      </c>
      <c r="I26">
        <v>0</v>
      </c>
      <c r="J26">
        <v>2128.5846099999999</v>
      </c>
      <c r="T26">
        <v>150</v>
      </c>
      <c r="U26">
        <v>24.15455</v>
      </c>
      <c r="V26">
        <v>30.086099999999998</v>
      </c>
    </row>
    <row r="27" spans="5:22">
      <c r="E27">
        <v>160</v>
      </c>
      <c r="F27">
        <v>50</v>
      </c>
      <c r="G27">
        <v>651.96329000000003</v>
      </c>
      <c r="H27">
        <v>3563.3800799999999</v>
      </c>
      <c r="I27">
        <v>0</v>
      </c>
      <c r="J27">
        <v>2308.03629</v>
      </c>
      <c r="T27">
        <v>160</v>
      </c>
      <c r="U27">
        <v>24.480409999999999</v>
      </c>
      <c r="V27">
        <v>31.235440000000001</v>
      </c>
    </row>
    <row r="28" spans="5:22">
      <c r="E28">
        <v>170</v>
      </c>
      <c r="F28">
        <v>50</v>
      </c>
      <c r="G28">
        <v>674.10847000000001</v>
      </c>
      <c r="H28">
        <v>3711.23234</v>
      </c>
      <c r="I28">
        <v>0</v>
      </c>
      <c r="J28">
        <v>2457.0640100000001</v>
      </c>
      <c r="T28">
        <v>170</v>
      </c>
      <c r="U28">
        <v>24.762689999999999</v>
      </c>
      <c r="V28">
        <v>32.212969999999999</v>
      </c>
    </row>
    <row r="29" spans="5:22">
      <c r="E29">
        <v>180</v>
      </c>
      <c r="F29">
        <v>50</v>
      </c>
      <c r="G29">
        <v>693.78385000000003</v>
      </c>
      <c r="H29">
        <v>3838.7505999999998</v>
      </c>
      <c r="I29">
        <v>0</v>
      </c>
      <c r="J29">
        <v>2581.0123899999999</v>
      </c>
      <c r="T29">
        <v>180</v>
      </c>
      <c r="U29">
        <v>25.006830000000001</v>
      </c>
      <c r="V29">
        <v>33.054900000000004</v>
      </c>
    </row>
    <row r="30" spans="5:22">
      <c r="E30">
        <v>190</v>
      </c>
      <c r="F30">
        <v>50</v>
      </c>
      <c r="G30">
        <v>711.52</v>
      </c>
      <c r="H30">
        <v>3949.1579700000002</v>
      </c>
      <c r="I30">
        <v>0</v>
      </c>
      <c r="J30">
        <v>2683.9401499999999</v>
      </c>
      <c r="T30">
        <v>190</v>
      </c>
      <c r="U30">
        <v>25.21724</v>
      </c>
      <c r="V30">
        <v>33.78651</v>
      </c>
    </row>
    <row r="32" spans="5:22">
      <c r="E32" t="s">
        <v>11</v>
      </c>
      <c r="F32" t="s">
        <v>18</v>
      </c>
      <c r="G32" t="s">
        <v>67</v>
      </c>
      <c r="H32" t="s">
        <v>68</v>
      </c>
      <c r="I32" t="s">
        <v>69</v>
      </c>
      <c r="J32" t="s">
        <v>70</v>
      </c>
    </row>
    <row r="33" spans="5:22">
      <c r="E33">
        <v>5</v>
      </c>
      <c r="F33">
        <v>50</v>
      </c>
      <c r="G33">
        <v>8.3539200000000005</v>
      </c>
      <c r="H33">
        <v>67.403540000000007</v>
      </c>
      <c r="I33">
        <v>2612.6862500000002</v>
      </c>
      <c r="J33">
        <v>0</v>
      </c>
    </row>
    <row r="34" spans="5:22">
      <c r="E34">
        <v>10</v>
      </c>
      <c r="F34">
        <v>50</v>
      </c>
      <c r="G34">
        <v>17.056429999999999</v>
      </c>
      <c r="H34">
        <v>37.726550000000003</v>
      </c>
      <c r="I34">
        <v>1380.20823</v>
      </c>
      <c r="J34">
        <v>0</v>
      </c>
      <c r="T34" t="s">
        <v>73</v>
      </c>
    </row>
    <row r="35" spans="5:22">
      <c r="E35">
        <v>20</v>
      </c>
      <c r="F35">
        <v>50</v>
      </c>
      <c r="G35">
        <v>35.651420000000002</v>
      </c>
      <c r="H35">
        <v>21.595040000000001</v>
      </c>
      <c r="I35">
        <v>791.88936000000001</v>
      </c>
      <c r="J35">
        <v>0</v>
      </c>
      <c r="T35" t="s">
        <v>11</v>
      </c>
      <c r="U35" t="s">
        <v>71</v>
      </c>
      <c r="V35" t="s">
        <v>72</v>
      </c>
    </row>
    <row r="36" spans="5:22">
      <c r="E36">
        <v>30</v>
      </c>
      <c r="F36">
        <v>50</v>
      </c>
      <c r="G36">
        <v>56.138179999999998</v>
      </c>
      <c r="H36">
        <v>16.211970000000001</v>
      </c>
      <c r="I36">
        <v>615.39328</v>
      </c>
      <c r="J36">
        <v>0</v>
      </c>
      <c r="T36">
        <v>5</v>
      </c>
      <c r="U36">
        <v>2090.64012</v>
      </c>
      <c r="V36">
        <v>6067.8261700000003</v>
      </c>
    </row>
    <row r="37" spans="5:22">
      <c r="E37">
        <v>40</v>
      </c>
      <c r="F37">
        <v>50</v>
      </c>
      <c r="G37">
        <v>79.013189999999994</v>
      </c>
      <c r="H37">
        <v>13.719390000000001</v>
      </c>
      <c r="I37">
        <v>545.94074000000001</v>
      </c>
      <c r="J37">
        <v>0</v>
      </c>
      <c r="T37">
        <v>10</v>
      </c>
      <c r="U37">
        <v>1166.1034500000001</v>
      </c>
      <c r="V37">
        <v>3778.1414500000001</v>
      </c>
    </row>
    <row r="38" spans="5:22">
      <c r="E38">
        <v>50</v>
      </c>
      <c r="F38">
        <v>50</v>
      </c>
      <c r="G38">
        <v>105.00586</v>
      </c>
      <c r="H38">
        <v>12.481640000000001</v>
      </c>
      <c r="I38">
        <v>525.87778000000003</v>
      </c>
      <c r="J38">
        <v>0</v>
      </c>
      <c r="T38">
        <v>20</v>
      </c>
      <c r="U38">
        <v>678.54380000000003</v>
      </c>
      <c r="V38">
        <v>2285.8804100000002</v>
      </c>
    </row>
    <row r="39" spans="5:22">
      <c r="E39">
        <v>60</v>
      </c>
      <c r="F39">
        <v>50</v>
      </c>
      <c r="G39">
        <v>135.24852999999999</v>
      </c>
      <c r="H39">
        <v>11.97991</v>
      </c>
      <c r="I39">
        <v>540.30418999999995</v>
      </c>
      <c r="J39">
        <v>0</v>
      </c>
      <c r="T39">
        <v>30</v>
      </c>
      <c r="U39">
        <v>524.25885000000005</v>
      </c>
      <c r="V39">
        <v>1745.95866</v>
      </c>
    </row>
    <row r="40" spans="5:22">
      <c r="E40">
        <v>70</v>
      </c>
      <c r="F40">
        <v>50</v>
      </c>
      <c r="G40">
        <v>171.62344999999999</v>
      </c>
      <c r="H40">
        <v>12.059139999999999</v>
      </c>
      <c r="I40">
        <v>590.78597000000002</v>
      </c>
      <c r="J40">
        <v>0</v>
      </c>
      <c r="T40">
        <v>40</v>
      </c>
      <c r="U40">
        <v>461.99619000000001</v>
      </c>
      <c r="V40">
        <v>1488.33933</v>
      </c>
    </row>
    <row r="41" spans="5:22">
      <c r="E41">
        <v>80</v>
      </c>
      <c r="F41">
        <v>50</v>
      </c>
      <c r="G41">
        <v>217.50556</v>
      </c>
      <c r="H41">
        <v>12.788029999999999</v>
      </c>
      <c r="I41">
        <v>695.87135000000001</v>
      </c>
      <c r="J41">
        <v>0</v>
      </c>
      <c r="T41">
        <v>50</v>
      </c>
      <c r="U41">
        <v>446.57792000000001</v>
      </c>
      <c r="V41">
        <v>1357.9368300000001</v>
      </c>
    </row>
    <row r="42" spans="5:22">
      <c r="E42">
        <v>90</v>
      </c>
      <c r="F42">
        <v>50</v>
      </c>
      <c r="G42">
        <v>279.07163000000003</v>
      </c>
      <c r="H42">
        <v>14.556229999999999</v>
      </c>
      <c r="I42">
        <v>913.13259000000005</v>
      </c>
      <c r="J42">
        <v>0</v>
      </c>
      <c r="T42">
        <v>60</v>
      </c>
      <c r="U42">
        <v>480.25887999999998</v>
      </c>
      <c r="V42">
        <v>1303.2360100000001</v>
      </c>
    </row>
    <row r="43" spans="5:22">
      <c r="E43">
        <v>100</v>
      </c>
      <c r="F43">
        <v>50</v>
      </c>
      <c r="G43">
        <v>362.37464999999997</v>
      </c>
      <c r="H43">
        <v>18.03098</v>
      </c>
      <c r="I43">
        <v>1359.913</v>
      </c>
      <c r="J43">
        <v>0</v>
      </c>
      <c r="T43">
        <v>70</v>
      </c>
      <c r="U43">
        <v>1792.20894</v>
      </c>
      <c r="V43">
        <v>1307.75487</v>
      </c>
    </row>
    <row r="44" spans="5:22">
      <c r="E44">
        <v>110</v>
      </c>
      <c r="F44">
        <v>50</v>
      </c>
      <c r="G44">
        <v>448.56664999999998</v>
      </c>
      <c r="H44">
        <v>21.944939999999999</v>
      </c>
      <c r="I44">
        <v>1920.9116100000001</v>
      </c>
      <c r="J44">
        <v>0</v>
      </c>
      <c r="T44">
        <v>80</v>
      </c>
      <c r="U44">
        <v>2037.00505</v>
      </c>
      <c r="V44">
        <v>1375.6201000000001</v>
      </c>
    </row>
    <row r="45" spans="5:22">
      <c r="E45">
        <v>120</v>
      </c>
      <c r="F45">
        <v>50</v>
      </c>
      <c r="G45">
        <v>513.08848</v>
      </c>
      <c r="H45">
        <v>24.859030000000001</v>
      </c>
      <c r="I45">
        <v>2375.1543999999999</v>
      </c>
      <c r="J45">
        <v>0</v>
      </c>
      <c r="T45">
        <v>90</v>
      </c>
      <c r="U45">
        <v>2209.74415</v>
      </c>
      <c r="V45">
        <v>1536.2261599999999</v>
      </c>
    </row>
    <row r="46" spans="5:22">
      <c r="E46">
        <v>130</v>
      </c>
      <c r="F46">
        <v>50</v>
      </c>
      <c r="G46">
        <v>560.11465999999996</v>
      </c>
      <c r="H46">
        <v>27.019629999999999</v>
      </c>
      <c r="I46">
        <v>2727.5536000000002</v>
      </c>
      <c r="J46">
        <v>0</v>
      </c>
      <c r="T46">
        <v>100</v>
      </c>
      <c r="U46">
        <v>2344.6069699999998</v>
      </c>
      <c r="V46">
        <v>1847.36771</v>
      </c>
    </row>
    <row r="47" spans="5:22">
      <c r="E47">
        <v>140</v>
      </c>
      <c r="F47">
        <v>50</v>
      </c>
      <c r="G47">
        <v>596.64718000000005</v>
      </c>
      <c r="H47">
        <v>28.7103</v>
      </c>
      <c r="I47">
        <v>3009.3304699999999</v>
      </c>
      <c r="J47">
        <v>0</v>
      </c>
      <c r="T47">
        <v>110</v>
      </c>
      <c r="U47">
        <v>2454.3362499999998</v>
      </c>
      <c r="V47">
        <v>2267.61355</v>
      </c>
    </row>
    <row r="48" spans="5:22">
      <c r="E48">
        <v>150</v>
      </c>
      <c r="F48">
        <v>50</v>
      </c>
      <c r="G48">
        <v>626.55843000000004</v>
      </c>
      <c r="H48">
        <v>30.086099999999998</v>
      </c>
      <c r="I48">
        <v>3240.1550000000002</v>
      </c>
      <c r="J48">
        <v>0</v>
      </c>
      <c r="T48">
        <v>120</v>
      </c>
      <c r="U48">
        <v>2545.4886799999999</v>
      </c>
      <c r="V48">
        <v>2642.2036800000001</v>
      </c>
    </row>
    <row r="49" spans="5:22">
      <c r="E49">
        <v>160</v>
      </c>
      <c r="F49">
        <v>50</v>
      </c>
      <c r="G49">
        <v>651.96329000000003</v>
      </c>
      <c r="H49">
        <v>31.235440000000001</v>
      </c>
      <c r="I49">
        <v>3432.1603700000001</v>
      </c>
      <c r="J49">
        <v>0</v>
      </c>
      <c r="T49">
        <v>130</v>
      </c>
      <c r="U49">
        <v>2622.0361600000001</v>
      </c>
      <c r="V49">
        <v>2942.5248799999999</v>
      </c>
    </row>
    <row r="50" spans="5:22">
      <c r="E50">
        <v>170</v>
      </c>
      <c r="F50">
        <v>50</v>
      </c>
      <c r="G50">
        <v>674.10847000000001</v>
      </c>
      <c r="H50">
        <v>32.212969999999999</v>
      </c>
      <c r="I50">
        <v>3593.31468</v>
      </c>
      <c r="J50">
        <v>0</v>
      </c>
      <c r="T50">
        <v>140</v>
      </c>
      <c r="U50">
        <v>2686.64041</v>
      </c>
      <c r="V50">
        <v>3187.0391500000001</v>
      </c>
    </row>
    <row r="51" spans="5:22">
      <c r="E51">
        <v>180</v>
      </c>
      <c r="F51">
        <v>50</v>
      </c>
      <c r="G51">
        <v>693.78385000000003</v>
      </c>
      <c r="H51">
        <v>33.054900000000004</v>
      </c>
      <c r="I51">
        <v>3729.1738399999999</v>
      </c>
      <c r="J51">
        <v>0</v>
      </c>
      <c r="T51">
        <v>150</v>
      </c>
      <c r="U51">
        <v>2741.2123499999998</v>
      </c>
      <c r="V51">
        <v>3390.7714999999998</v>
      </c>
    </row>
    <row r="52" spans="5:22">
      <c r="E52">
        <v>190</v>
      </c>
      <c r="F52">
        <v>50</v>
      </c>
      <c r="G52">
        <v>711.52</v>
      </c>
      <c r="H52">
        <v>33.78651</v>
      </c>
      <c r="I52">
        <v>3843.8058000000001</v>
      </c>
      <c r="J52">
        <v>0</v>
      </c>
      <c r="T52">
        <v>160</v>
      </c>
      <c r="U52">
        <v>2787.1939699999998</v>
      </c>
      <c r="V52">
        <v>3563.3800799999999</v>
      </c>
    </row>
    <row r="53" spans="5:22">
      <c r="T53">
        <v>170</v>
      </c>
      <c r="U53">
        <v>2825.7150499999998</v>
      </c>
      <c r="V53">
        <v>3711.23234</v>
      </c>
    </row>
    <row r="54" spans="5:22">
      <c r="T54">
        <v>180</v>
      </c>
      <c r="U54">
        <v>2857.6869999999999</v>
      </c>
      <c r="V54">
        <v>3838.7505999999998</v>
      </c>
    </row>
    <row r="55" spans="5:22">
      <c r="T55">
        <v>190</v>
      </c>
      <c r="U55">
        <v>2883.8622099999998</v>
      </c>
      <c r="V55">
        <v>3949.1579700000002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9e92212f5fa42fa9b52bc2f3224e0af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Equinor ASA</TermName>
          <TermId xmlns="http://schemas.microsoft.com/office/infopath/2007/PartnerControls">98c35a5d-62b8-4578-be3d-53b9f4deec1f</TermId>
        </TermInfo>
      </Terms>
    </m9e92212f5fa42fa9b52bc2f3224e0af>
    <b519d5ff8fc64ffea9cb9a4c0b377271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Restricted</TermName>
          <TermId xmlns="http://schemas.microsoft.com/office/infopath/2007/PartnerControls">2778d0cb-d518-40da-b77b-8925576cf660</TermId>
        </TermInfo>
      </Terms>
    </b519d5ff8fc64ffea9cb9a4c0b377271>
    <d632f762b19c46329b06e4a329cb5038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DIGITAL ＆ INNOVATION (TDI)</TermName>
          <TermId xmlns="http://schemas.microsoft.com/office/infopath/2007/PartnerControls">90177810-19d5-40f0-8fda-8eb6a1357ee0</TermId>
        </TermInfo>
      </Terms>
    </d632f762b19c46329b06e4a329cb5038>
    <o6fe11a35735487dac377a215490fa4b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Office 365</TermName>
          <TermId xmlns="http://schemas.microsoft.com/office/infopath/2007/PartnerControls">23cc2eaf-b88f-49bf-9aee-2309aadb8846</TermId>
        </TermInfo>
      </Terms>
    </o6fe11a35735487dac377a215490fa4b>
    <TaxCatchAll xmlns="5b4e24bb-367d-45dc-b637-097f3fb44482">
      <Value>12</Value>
      <Value>11</Value>
      <Value>10</Value>
      <Value>9</Value>
      <Value>8</Value>
      <Value>7</Value>
      <Value>6</Value>
      <Value>3</Value>
      <Value>2</Value>
      <Value>1</Value>
    </TaxCatchAll>
    <mbf6ec96a4d94feeaf76fee4d5d0c80e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Norway</TermName>
          <TermId xmlns="http://schemas.microsoft.com/office/infopath/2007/PartnerControls">cd21f0fc-a0f3-48c6-8f36-ae1c60534e37</TermId>
        </TermInfo>
      </Terms>
    </mbf6ec96a4d94feeaf76fee4d5d0c80e>
    <c71f94430ee24530b6af52dc58e8598c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development and qualification results documentation</TermName>
          <TermId xmlns="http://schemas.microsoft.com/office/infopath/2007/PartnerControls">1dc0fd69-270f-4253-8578-d31ba81855ea</TermId>
        </TermInfo>
      </Terms>
    </c71f94430ee24530b6af52dc58e8598c>
    <lcf76f155ced4ddcb4097134ff3c332f xmlns="d8a3ff31-0bf5-4b05-89dd-c9d0dcb2535f">
      <Terms xmlns="http://schemas.microsoft.com/office/infopath/2007/PartnerControls"/>
    </lcf76f155ced4ddcb4097134ff3c332f>
    <hfb23c77fa4f4618a5f446ac03ac12ab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development and implementation (TDI)</TermName>
          <TermId xmlns="http://schemas.microsoft.com/office/infopath/2007/PartnerControls">01afcb3b-5eca-414e-9ead-1d3cb7205fcb</TermId>
        </TermInfo>
      </Terms>
    </hfb23c77fa4f4618a5f446ac03ac12ab>
    <gd56e2644879487f8da67586944cf0f5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Draft</TermName>
          <TermId xmlns="http://schemas.microsoft.com/office/infopath/2007/PartnerControls">af4d3abd-d88d-48b7-8fea-db9baac9496f</TermId>
        </TermInfo>
      </Terms>
    </gd56e2644879487f8da67586944cf0f5>
    <g971e9ce8060489b80a056801d36d93d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development and implementation</TermName>
          <TermId xmlns="http://schemas.microsoft.com/office/infopath/2007/PartnerControls">dc35df5a-637b-4931-aa8a-8ad4f87f1407</TermId>
        </TermInfo>
      </Terms>
    </g971e9ce8060489b80a056801d36d93d>
    <j463fd55c1e24278acd7d668b68aa43a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TDI EMERGING AND FUTURE BUSINESS (TDI EFB)</TermName>
          <TermId xmlns="http://schemas.microsoft.com/office/infopath/2007/PartnerControls">3c50ca31-343a-4f74-bdb6-2f7078209a65</TermId>
        </TermInfo>
      </Terms>
    </j463fd55c1e24278acd7d668b68aa43a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02f74cf1-ae9f-400d-bc52-3bcd3a9e177f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Equinor Document" ma:contentTypeID="0x01010021A623C39873404E8BA89587BD4428B40100946254CC3DCC2243829C0114955FFFDC" ma:contentTypeVersion="20" ma:contentTypeDescription="Create a new document." ma:contentTypeScope="" ma:versionID="2390134c84f9bf37829b2005d6a17821">
  <xsd:schema xmlns:xsd="http://www.w3.org/2001/XMLSchema" xmlns:xs="http://www.w3.org/2001/XMLSchema" xmlns:p="http://schemas.microsoft.com/office/2006/metadata/properties" xmlns:ns2="0b8dc557-2c0f-45b0-8a94-30b051e149ac" xmlns:ns3="5b4e24bb-367d-45dc-b637-097f3fb44482" xmlns:ns4="d8a3ff31-0bf5-4b05-89dd-c9d0dcb2535f" targetNamespace="http://schemas.microsoft.com/office/2006/metadata/properties" ma:root="true" ma:fieldsID="fc7cdf7d57ba6ec4f3e177b329bfadc6" ns2:_="" ns3:_="" ns4:_="">
    <xsd:import namespace="0b8dc557-2c0f-45b0-8a94-30b051e149ac"/>
    <xsd:import namespace="5b4e24bb-367d-45dc-b637-097f3fb44482"/>
    <xsd:import namespace="d8a3ff31-0bf5-4b05-89dd-c9d0dcb2535f"/>
    <xsd:element name="properties">
      <xsd:complexType>
        <xsd:sequence>
          <xsd:element name="documentManagement">
            <xsd:complexType>
              <xsd:all>
                <xsd:element ref="ns2:d632f762b19c46329b06e4a329cb5038" minOccurs="0"/>
                <xsd:element ref="ns3:TaxCatchAll" minOccurs="0"/>
                <xsd:element ref="ns3:TaxCatchAllLabel" minOccurs="0"/>
                <xsd:element ref="ns2:mbf6ec96a4d94feeaf76fee4d5d0c80e" minOccurs="0"/>
                <xsd:element ref="ns2:c71f94430ee24530b6af52dc58e8598c" minOccurs="0"/>
                <xsd:element ref="ns2:m9e92212f5fa42fa9b52bc2f3224e0af" minOccurs="0"/>
                <xsd:element ref="ns2:hfb23c77fa4f4618a5f446ac03ac12ab" minOccurs="0"/>
                <xsd:element ref="ns2:g971e9ce8060489b80a056801d36d93d" minOccurs="0"/>
                <xsd:element ref="ns2:b519d5ff8fc64ffea9cb9a4c0b377271" minOccurs="0"/>
                <xsd:element ref="ns2:o6fe11a35735487dac377a215490fa4b" minOccurs="0"/>
                <xsd:element ref="ns2:gd56e2644879487f8da67586944cf0f5" minOccurs="0"/>
                <xsd:element ref="ns4:MediaServiceMetadata" minOccurs="0"/>
                <xsd:element ref="ns4:MediaServiceFastMetadata" minOccurs="0"/>
                <xsd:element ref="ns2:SharedWithUsers" minOccurs="0"/>
                <xsd:element ref="ns2:SharedWithDetails" minOccurs="0"/>
                <xsd:element ref="ns2:j463fd55c1e24278acd7d668b68aa43a" minOccurs="0"/>
                <xsd:element ref="ns4:MediaServiceObjectDetectorVersions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lcf76f155ced4ddcb4097134ff3c332f" minOccurs="0"/>
                <xsd:element ref="ns4:MediaServiceOCR" minOccurs="0"/>
                <xsd:element ref="ns4:MediaServiceSearchProperties" minOccurs="0"/>
                <xsd:element ref="ns4:MediaServiceBillingMetadata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8dc557-2c0f-45b0-8a94-30b051e149ac" elementFormDefault="qualified">
    <xsd:import namespace="http://schemas.microsoft.com/office/2006/documentManagement/types"/>
    <xsd:import namespace="http://schemas.microsoft.com/office/infopath/2007/PartnerControls"/>
    <xsd:element name="d632f762b19c46329b06e4a329cb5038" ma:index="8" ma:taxonomy="true" ma:internalName="d632f762b19c46329b06e4a329cb5038" ma:taxonomyFieldName="EIMBusinessArea" ma:displayName="Business Area" ma:default="6;#TECHNOLOGY DIGITAL ＆ INNOVATION (TDI)|90177810-19d5-40f0-8fda-8eb6a1357ee0" ma:fieldId="{d632f762-b19c-4632-9b06-e4a329cb5038}" ma:sspId="02f74cf1-ae9f-400d-bc52-3bcd3a9e177f" ma:termSetId="a8ca9a86-9113-48ea-8063-579000373f6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bf6ec96a4d94feeaf76fee4d5d0c80e" ma:index="12" ma:taxonomy="true" ma:internalName="mbf6ec96a4d94feeaf76fee4d5d0c80e" ma:taxonomyFieldName="EIMCountry" ma:displayName="Country" ma:default="7;#Norway|cd21f0fc-a0f3-48c6-8f36-ae1c60534e37" ma:fieldId="{6bf6ec96-a4d9-4fee-af76-fee4d5d0c80e}" ma:taxonomyMulti="true" ma:sspId="02f74cf1-ae9f-400d-bc52-3bcd3a9e177f" ma:termSetId="0250f7c1-058f-435e-97fc-c7f58584592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71f94430ee24530b6af52dc58e8598c" ma:index="14" ma:taxonomy="true" ma:internalName="c71f94430ee24530b6af52dc58e8598c" ma:taxonomyFieldName="EIMInformationAsset" ma:displayName="Information type" ma:default="11;#Technology development and qualification results documentation|1dc0fd69-270f-4253-8578-d31ba81855ea" ma:fieldId="{c71f9443-0ee2-4530-b6af-52dc58e8598c}" ma:sspId="02f74cf1-ae9f-400d-bc52-3bcd3a9e177f" ma:termSetId="b76f03a6-1db7-44cf-ab25-1870b16029a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9e92212f5fa42fa9b52bc2f3224e0af" ma:index="16" ma:taxonomy="true" ma:internalName="m9e92212f5fa42fa9b52bc2f3224e0af" ma:taxonomyFieldName="EIMLegalEntity" ma:displayName="Legal Entity" ma:default="1;#Equinor ASA|98c35a5d-62b8-4578-be3d-53b9f4deec1f" ma:fieldId="{69e92212-f5fa-42fa-9b52-bc2f3224e0af}" ma:sspId="02f74cf1-ae9f-400d-bc52-3bcd3a9e177f" ma:termSetId="547ebc0c-73a3-4a88-b498-ea2a950fe21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fb23c77fa4f4618a5f446ac03ac12ab" ma:index="18" ma:taxonomy="true" ma:internalName="hfb23c77fa4f4618a5f446ac03ac12ab" ma:taxonomyFieldName="EIMProcessArea" ma:displayName="Business capability level 1" ma:default="8;#Technology development and implementation (TDI)|01afcb3b-5eca-414e-9ead-1d3cb7205fcb" ma:fieldId="{1fb23c77-fa4f-4618-a5f4-46ac03ac12ab}" ma:sspId="02f74cf1-ae9f-400d-bc52-3bcd3a9e177f" ma:termSetId="041c847a-4248-484c-8e89-6aba1a2f3a5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971e9ce8060489b80a056801d36d93d" ma:index="20" ma:taxonomy="true" ma:internalName="g971e9ce8060489b80a056801d36d93d" ma:taxonomyFieldName="EIMProcess" ma:displayName="Business capability level 2" ma:default="9;#Technology development and implementation|dc35df5a-637b-4931-aa8a-8ad4f87f1407" ma:fieldId="{0971e9ce-8060-489b-80a0-56801d36d93d}" ma:sspId="02f74cf1-ae9f-400d-bc52-3bcd3a9e177f" ma:termSetId="3b80e1d2-5900-412d-b185-fa8652847d1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519d5ff8fc64ffea9cb9a4c0b377271" ma:index="22" ma:taxonomy="true" ma:internalName="b519d5ff8fc64ffea9cb9a4c0b377271" ma:taxonomyFieldName="EIMSecurityClassification" ma:displayName="Security Classification" ma:default="10;#Restricted|2778d0cb-d518-40da-b77b-8925576cf660" ma:fieldId="{b519d5ff-8fc6-4ffe-a9cb-9a4c0b377271}" ma:sspId="02f74cf1-ae9f-400d-bc52-3bcd3a9e177f" ma:termSetId="6586e8a5-4521-47b6-a267-a502c9a77ea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o6fe11a35735487dac377a215490fa4b" ma:index="24" nillable="true" ma:taxonomy="true" ma:internalName="o6fe11a35735487dac377a215490fa4b" ma:taxonomyFieldName="EIMSource" ma:displayName="Source" ma:default="3;#Office 365|23cc2eaf-b88f-49bf-9aee-2309aadb8846" ma:fieldId="{86fe11a3-5735-487d-ac37-7a215490fa4b}" ma:sspId="02f74cf1-ae9f-400d-bc52-3bcd3a9e177f" ma:termSetId="68f706c4-2129-47d0-b770-1bab961b61b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d56e2644879487f8da67586944cf0f5" ma:index="26" ma:taxonomy="true" ma:internalName="gd56e2644879487f8da67586944cf0f5" ma:taxonomyFieldName="EIMStatus" ma:displayName="Status" ma:default="2;#Draft|af4d3abd-d88d-48b7-8fea-db9baac9496f" ma:fieldId="{0d56e264-4879-487f-8da6-7586944cf0f5}" ma:sspId="02f74cf1-ae9f-400d-bc52-3bcd3a9e177f" ma:termSetId="ee819452-dde8-4ad2-a8b9-030bdfafa61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aredWithUsers" ma:index="3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j463fd55c1e24278acd7d668b68aa43a" ma:index="32" nillable="true" ma:taxonomy="true" ma:internalName="j463fd55c1e24278acd7d668b68aa43a" ma:taxonomyFieldName="EIMOrganisationUnit" ma:displayName="Organisation Unit" ma:default="12;#TDI EMERGING AND FUTURE BUSINESS (TDI EFB)|3c50ca31-343a-4f74-bdb6-2f7078209a65" ma:fieldId="{3463fd55-c1e2-4278-acd7-d668b68aa43a}" ma:sspId="02f74cf1-ae9f-400d-bc52-3bcd3a9e177f" ma:termSetId="f36a540b-7bb7-4142-ae76-bc96ba0f7f01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4e24bb-367d-45dc-b637-097f3fb44482" elementFormDefault="qualified">
    <xsd:import namespace="http://schemas.microsoft.com/office/2006/documentManagement/types"/>
    <xsd:import namespace="http://schemas.microsoft.com/office/infopath/2007/PartnerControls"/>
    <xsd:element name="TaxCatchAll" ma:index="9" nillable="true" ma:displayName="Taxonomy Catch All Column" ma:hidden="true" ma:list="{459b0f03-dded-4fa7-8604-c43881ca5c34}" ma:internalName="TaxCatchAll" ma:showField="CatchAllData" ma:web="0b8dc557-2c0f-45b0-8a94-30b051e149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459b0f03-dded-4fa7-8604-c43881ca5c34}" ma:internalName="TaxCatchAllLabel" ma:readOnly="true" ma:showField="CatchAllDataLabel" ma:web="0b8dc557-2c0f-45b0-8a94-30b051e149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a3ff31-0bf5-4b05-89dd-c9d0dcb25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3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3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3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3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40" nillable="true" ma:taxonomy="true" ma:internalName="lcf76f155ced4ddcb4097134ff3c332f" ma:taxonomyFieldName="MediaServiceImageTags" ma:displayName="Image Tags" ma:readOnly="false" ma:fieldId="{5cf76f15-5ced-4ddc-b409-7134ff3c332f}" ma:taxonomyMulti="true" ma:sspId="02f74cf1-ae9f-400d-bc52-3bcd3a9e177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4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4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43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Location" ma:index="44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E38B29E-A584-4A79-84CB-D8441E5A4EE7}"/>
</file>

<file path=customXml/itemProps2.xml><?xml version="1.0" encoding="utf-8"?>
<ds:datastoreItem xmlns:ds="http://schemas.openxmlformats.org/officeDocument/2006/customXml" ds:itemID="{B641FCBC-0CC9-4E3A-AA77-F35DCC290051}"/>
</file>

<file path=customXml/itemProps3.xml><?xml version="1.0" encoding="utf-8"?>
<ds:datastoreItem xmlns:ds="http://schemas.openxmlformats.org/officeDocument/2006/customXml" ds:itemID="{DDA307E9-E2CE-432D-8420-736918000656}"/>
</file>

<file path=customXml/itemProps4.xml><?xml version="1.0" encoding="utf-8"?>
<ds:datastoreItem xmlns:ds="http://schemas.openxmlformats.org/officeDocument/2006/customXml" ds:itemID="{6A988E22-F135-4ABF-A445-7190C0B93653}"/>
</file>

<file path=docMetadata/LabelInfo.xml><?xml version="1.0" encoding="utf-8"?>
<clbl:labelList xmlns:clbl="http://schemas.microsoft.com/office/2020/mipLabelMetadata">
  <clbl:label id="{046c756f-26af-49d7-8b14-b166fcf3e7d5}" enabled="1" method="Standard" siteId="{3aa4a235-b6e2-48d5-9195-7fcf05b459b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Baard Kaasa</dc:creator>
  <cp:keywords/>
  <dc:description/>
  <cp:lastModifiedBy>Sven Morten Hesjevik</cp:lastModifiedBy>
  <cp:revision/>
  <dcterms:created xsi:type="dcterms:W3CDTF">2015-06-05T18:19:34Z</dcterms:created>
  <dcterms:modified xsi:type="dcterms:W3CDTF">2025-10-20T11:06:13Z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0x01010021A623C39873404E8BA89587BD4428B40100946254CC3DCC2243829C0114955FFFDC</vt:lpwstr>
  </property>
  <property fmtid="{D5CDD505-2E9C-101B-9397-08002B2CF9AE}" pid="3" name="EIMLegalEntity">
    <vt:lpwstr>1;#Equinor ASA|98c35a5d-62b8-4578-be3d-53b9f4deec1f</vt:lpwstr>
  </property>
  <property fmtid="{D5CDD505-2E9C-101B-9397-08002B2CF9AE}" pid="4" name="MediaServiceImageTags">
    <vt:lpwstr/>
  </property>
  <property fmtid="{D5CDD505-2E9C-101B-9397-08002B2CF9AE}" pid="5" name="EIMBusinessArea">
    <vt:lpwstr>6;#TECHNOLOGY DIGITAL ＆ INNOVATION (TDI)|90177810-19d5-40f0-8fda-8eb6a1357ee0</vt:lpwstr>
  </property>
  <property fmtid="{D5CDD505-2E9C-101B-9397-08002B2CF9AE}" pid="6" name="EIMCountry">
    <vt:lpwstr>7;#Norway|cd21f0fc-a0f3-48c6-8f36-ae1c60534e37</vt:lpwstr>
  </property>
  <property fmtid="{D5CDD505-2E9C-101B-9397-08002B2CF9AE}" pid="7" name="EIMSource">
    <vt:lpwstr>3;#Office 365|23cc2eaf-b88f-49bf-9aee-2309aadb8846</vt:lpwstr>
  </property>
  <property fmtid="{D5CDD505-2E9C-101B-9397-08002B2CF9AE}" pid="8" name="EIMSecurityClassification">
    <vt:lpwstr>10;#Restricted|2778d0cb-d518-40da-b77b-8925576cf660</vt:lpwstr>
  </property>
  <property fmtid="{D5CDD505-2E9C-101B-9397-08002B2CF9AE}" pid="9" name="EIMProcess">
    <vt:lpwstr>9;#Technology development and implementation|dc35df5a-637b-4931-aa8a-8ad4f87f1407</vt:lpwstr>
  </property>
  <property fmtid="{D5CDD505-2E9C-101B-9397-08002B2CF9AE}" pid="10" name="EIMInformationAsset">
    <vt:lpwstr>11;#Technology development and qualification results documentation|1dc0fd69-270f-4253-8578-d31ba81855ea</vt:lpwstr>
  </property>
  <property fmtid="{D5CDD505-2E9C-101B-9397-08002B2CF9AE}" pid="11" name="EIMOrganisationUnit">
    <vt:lpwstr>12;#TDI EMERGING AND FUTURE BUSINESS (TDI EFB)|3c50ca31-343a-4f74-bdb6-2f7078209a65</vt:lpwstr>
  </property>
  <property fmtid="{D5CDD505-2E9C-101B-9397-08002B2CF9AE}" pid="12" name="EIMProcessArea">
    <vt:lpwstr>8;#Technology development and implementation (TDI)|01afcb3b-5eca-414e-9ead-1d3cb7205fcb</vt:lpwstr>
  </property>
  <property fmtid="{D5CDD505-2E9C-101B-9397-08002B2CF9AE}" pid="13" name="EIMStatus">
    <vt:lpwstr>2;#Draft|af4d3abd-d88d-48b7-8fea-db9baac9496f</vt:lpwstr>
  </property>
</Properties>
</file>